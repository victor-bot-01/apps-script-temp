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ário" sheetId="1" r:id="rId5"/>
    <sheet state="visible" name="Status_Inativos" sheetId="2" r:id="rId6"/>
    <sheet state="visible" name="Validade" sheetId="3" r:id="rId7"/>
    <sheet state="visible" name="Óleos Essencias" sheetId="4" r:id="rId8"/>
    <sheet state="visible" name="Script" sheetId="5" r:id="rId9"/>
  </sheets>
  <definedNames/>
  <calcPr/>
</workbook>
</file>

<file path=xl/sharedStrings.xml><?xml version="1.0" encoding="utf-8"?>
<sst xmlns="http://schemas.openxmlformats.org/spreadsheetml/2006/main" count="676" uniqueCount="582">
  <si>
    <t>Lista de Pedidos Pendentes</t>
  </si>
  <si>
    <t>Localização</t>
  </si>
  <si>
    <t>Pasta P1</t>
  </si>
  <si>
    <t>Qt.</t>
  </si>
  <si>
    <t>Caixa Profumos 65ml</t>
  </si>
  <si>
    <t>Caixa Óleos Roll On</t>
  </si>
  <si>
    <t>Caixa Perf. Fem. Natural 10ml</t>
  </si>
  <si>
    <t>Caixa Perf. Masc. Natural 10ml</t>
  </si>
  <si>
    <t>Caixa P/ Uso 10ml</t>
  </si>
  <si>
    <t>Caixa Blend 10ml</t>
  </si>
  <si>
    <t>Mesa Cinza</t>
  </si>
  <si>
    <t>Caixa Absolu 10ml</t>
  </si>
  <si>
    <t>Caixa Elixir 10ml</t>
  </si>
  <si>
    <t>Caixa Vidro Alto 100ml</t>
  </si>
  <si>
    <t>Caixa Aromatizador 250ml</t>
  </si>
  <si>
    <t>Caixa Essência 60ml / 100ml</t>
  </si>
  <si>
    <t>Caixa Difusor 100ml</t>
  </si>
  <si>
    <t>Caixa Perfume 30ml</t>
  </si>
  <si>
    <t>Caixa Essência 10ml</t>
  </si>
  <si>
    <t>Caixa Óleos 10ml</t>
  </si>
  <si>
    <t>Caixa Col. Botânica 10ml</t>
  </si>
  <si>
    <t>Caixa Col. Botânica 50ml</t>
  </si>
  <si>
    <t>Caixa Perf. Fem. 100ml</t>
  </si>
  <si>
    <t>Caixa Perf. Fem. Natural 100ml</t>
  </si>
  <si>
    <t>Caixa Perf. Fem. Natural 50ml</t>
  </si>
  <si>
    <t>Caixa Perfumes 65ml</t>
  </si>
  <si>
    <t>Caixa Perf. Masc. Eti. Preta / Outras</t>
  </si>
  <si>
    <t>P/ Uso O. Roll On Anis Estrelado 10ml</t>
  </si>
  <si>
    <t>Roll On O. Anis Estrelado 10ml</t>
  </si>
  <si>
    <t>Profumo 002 - 65ml</t>
  </si>
  <si>
    <t>O. Roll On Eucalipto Citriodora 10ml</t>
  </si>
  <si>
    <t xml:space="preserve">Perf. Fem. Roll On Flor de Artemísia 10ml </t>
  </si>
  <si>
    <t>Perf. Masc. Roll On Benjoim 10ml</t>
  </si>
  <si>
    <t>P/ Uso O. Roll On Alfazema 10ml</t>
  </si>
  <si>
    <t>Perf. Masc. Roll On Patchouli &amp; Pau Rosa</t>
  </si>
  <si>
    <t>Perf. Fem. Alfazema &amp; Olíbano 100ml</t>
  </si>
  <si>
    <t>Perf. Masc. Absolu Hortelã 100ml</t>
  </si>
  <si>
    <t>Perf. Fem. Elixir Dama da Noite 100ml</t>
  </si>
  <si>
    <t>Perf. Masc. Madeira e Pimenta 100ml (Vidro Alto)</t>
  </si>
  <si>
    <t>Aromatizador 250ml - Cereja com Avelã</t>
  </si>
  <si>
    <t>E. Bubaloo 60ml</t>
  </si>
  <si>
    <t>Difusor Lavanda 100ml</t>
  </si>
  <si>
    <t>Perf. Fem. Liberty 30ml</t>
  </si>
  <si>
    <t>E. Bubaloo 10ml</t>
  </si>
  <si>
    <t>O. Erva Baleeira 10ml</t>
  </si>
  <si>
    <t>Perf. Fem. Roll On Artemísia Marroquina 10ml (Col. Botânica)</t>
  </si>
  <si>
    <t>Perf. Fem. Artemísia Marroquina 50ml (Col. Botânica)</t>
  </si>
  <si>
    <t>Perf. Fem. Arabian 100ml</t>
  </si>
  <si>
    <t>Perf. Fem. Lavanda Inglesa 100ml Natural</t>
  </si>
  <si>
    <t>Perf. Fem. Rosas Vermelhas 50ml Natural</t>
  </si>
  <si>
    <t>Perf. Fem. Afrodite 65ml</t>
  </si>
  <si>
    <t>Perf. Masc. Raízes da África 100ml (Eti. Preta)</t>
  </si>
  <si>
    <t>P/ Uso O. Roll On Alecrim 10ml</t>
  </si>
  <si>
    <t>Roll On O. Alecrim 10ml</t>
  </si>
  <si>
    <t>Profumo 014 - 65ml</t>
  </si>
  <si>
    <t>O. Roll On Orégano 10ml</t>
  </si>
  <si>
    <t>Perf. Fem. Roll On  Lavanda Suíça 10ml</t>
  </si>
  <si>
    <t>Perf. Masc. Roll On Lemongrass 10ml</t>
  </si>
  <si>
    <t>P/ Uso O. Roll On Ylang Ylang 10ml</t>
  </si>
  <si>
    <t>Perf. Masc. Roll On Patchouli &amp; Madeira Nobre</t>
  </si>
  <si>
    <t>Perf. Fem. Almíscar Oriental &amp; Canela 100ml</t>
  </si>
  <si>
    <t>Perf. Masc. Absolu Tangerina 100ml</t>
  </si>
  <si>
    <t>Perf. Fem. Elixir Flor de Jasmim 100ml</t>
  </si>
  <si>
    <t>Perf. Masc. Sândalo 100ml (Vidro Alto)</t>
  </si>
  <si>
    <t>Aromatizador 250ml - Vanilla</t>
  </si>
  <si>
    <t>E. Sementes do Brasil 60ml</t>
  </si>
  <si>
    <t>Difusor Eucalipto 100ml</t>
  </si>
  <si>
    <t>Perf. Fem. Luna Rosas 30ml</t>
  </si>
  <si>
    <t>E. Flor de Campo 10ml</t>
  </si>
  <si>
    <t>O. Cardamomo 10ml</t>
  </si>
  <si>
    <t>Perf. Fem. Roll On Gerânio Elegante 10ml (Col. Botânica)</t>
  </si>
  <si>
    <t>Perf. Fem. Limão Siciliano 50ml (Col. Botânica)</t>
  </si>
  <si>
    <t>Perf. Fem. Silences 100ml</t>
  </si>
  <si>
    <t>Perf. Fem. Flor de Jasmim 100ml Natural</t>
  </si>
  <si>
    <t>Perf. Fem. Flor de Laranjeira 50ml Natural</t>
  </si>
  <si>
    <t>Perf. Masc. Amber 100ml (Eti. Preta)</t>
  </si>
  <si>
    <t>P/ Uso O. Roll On Artemísia 10ml</t>
  </si>
  <si>
    <t>Roll On O. Alfazema 10ml</t>
  </si>
  <si>
    <t>Profumo 027 - 65ml</t>
  </si>
  <si>
    <t>O. Roll On Citronela 10ml</t>
  </si>
  <si>
    <t>Perf. Fem. Roll On Flor de Angélica 10ml</t>
  </si>
  <si>
    <t>Perf. Masc. Roll On Limão Siciliano 10ml</t>
  </si>
  <si>
    <t>P/ Uso O. Roll On Cânfora 10ml</t>
  </si>
  <si>
    <t>Perf. Fem. Roll On Gerânio &amp; Ylang Ylang</t>
  </si>
  <si>
    <t>Perf. Fem. Baunilha &amp; Canela 100ml</t>
  </si>
  <si>
    <t>Perf. Masc. Absolu Girassol 100ml</t>
  </si>
  <si>
    <t>Perf. Fem. Elixir Rosas Vermelhas 100ml</t>
  </si>
  <si>
    <t>Perf. Masc. Tabac Patchouli 100ml (Vidro Alto)</t>
  </si>
  <si>
    <t>Aromatizador 250ml - Flor de Laranjeira</t>
  </si>
  <si>
    <t>E. Flor de Laranjeira 60ml</t>
  </si>
  <si>
    <t>Difusor Hortelã Pimenta 100ml</t>
  </si>
  <si>
    <t>Perf. Fem. Roses 30ml</t>
  </si>
  <si>
    <t>E. Cascas e Folhas 10ml</t>
  </si>
  <si>
    <t>O. Yuzu Japão 10ml</t>
  </si>
  <si>
    <t>Perf. Fem. Roll On Grapefruit Vibrante 10ml (Col. Botânica)</t>
  </si>
  <si>
    <t>Perf. Fem. Olíbano Sagrado 50ml (Col. Botânica)</t>
  </si>
  <si>
    <t>Perf. Fem. Lady Noir 100ml</t>
  </si>
  <si>
    <t>Perf. Fem. Flor de Maçã 100ml Natural</t>
  </si>
  <si>
    <t>Perf. Masc. Amadeirado 100ml (Eti. Preta)</t>
  </si>
  <si>
    <t>P/ Uso O. Roll On Basilicão 10ml</t>
  </si>
  <si>
    <t>Roll On O. Basilicão 10ml</t>
  </si>
  <si>
    <t>Profumo 047 - 65ml</t>
  </si>
  <si>
    <t>O. Roll On Lemongrass 10ml</t>
  </si>
  <si>
    <t>Perf. Fem. Roll On Notas de Alecrim 10ml</t>
  </si>
  <si>
    <t>Perf. Masc. Roll On Mandarina Verde 10ml</t>
  </si>
  <si>
    <t>P/ Uso O. Roll On Litsea Cubeba 10ml</t>
  </si>
  <si>
    <t>Perf. Fem. Roll On Patchouli &amp; Ylang Ylang</t>
  </si>
  <si>
    <t>Perf. Fem. Baunilha &amp; Cravo da Índia 100ml</t>
  </si>
  <si>
    <t>Perf. Masc. Absolu Patchouli 100ml</t>
  </si>
  <si>
    <t>Perf. Fem. Elixir Flor de Laranjeira 100ml</t>
  </si>
  <si>
    <t>Perf. Masc. Alecrim do Marrocos 100ml (Vidro Alto)</t>
  </si>
  <si>
    <t>Aromatizador 250ml - Versailles Vanilla Bouborn</t>
  </si>
  <si>
    <t>E. Baunilha 60ml</t>
  </si>
  <si>
    <t>Difusor Cravo E Canela 100ml</t>
  </si>
  <si>
    <t>Perf. Fem. Madame Paris 30ml</t>
  </si>
  <si>
    <t>E. Guaraná 10ml</t>
  </si>
  <si>
    <t>O. Tuia Europa 10ml</t>
  </si>
  <si>
    <t>Perf. Fem. Roll On Ho Wood Elegante 10ml (Col. Botânica)</t>
  </si>
  <si>
    <t>Perf. Fem. Tangerina Radiante 50ml (Col. Botânica)</t>
  </si>
  <si>
    <t>Perf. Fem. Volcan D' Amour 100ml</t>
  </si>
  <si>
    <t>Perf. Fem. Rosas Vermelhas 100ml Natural</t>
  </si>
  <si>
    <t>Perf. Masc. Sheik 100ml (Eti. Laranja)</t>
  </si>
  <si>
    <t>P/ Uso O. Roll On Bergamota 10ml</t>
  </si>
  <si>
    <t>Roll On O. Copaíba 10ml</t>
  </si>
  <si>
    <t>Profumo 058 - 65ml</t>
  </si>
  <si>
    <t>O. Roll On Cedro da Virgínia 10ml</t>
  </si>
  <si>
    <t>Perf. Fem. Roll On Mirra 10ml</t>
  </si>
  <si>
    <t>Perf. Masc. Roll On Noz Moscada 10ml</t>
  </si>
  <si>
    <t>P/ Uso O. Roll On Orégano 10ml</t>
  </si>
  <si>
    <t>Perf. Fem. Roll On Baunilha &amp; Patchouli</t>
  </si>
  <si>
    <t>Perf. Fem. Baunilha &amp; Grapefruit 100ml</t>
  </si>
  <si>
    <t>Perf. Masc. Absolu Madeira Nobre 100ml</t>
  </si>
  <si>
    <t>Perf. Fem. Elixir Lírios 100ml</t>
  </si>
  <si>
    <t>Perf. Masc. Petitgrain do Paraguai 100ml (Vidro Alto)</t>
  </si>
  <si>
    <t>Aromatizador 250ml - Bambu</t>
  </si>
  <si>
    <t>E. Pinho 60ml</t>
  </si>
  <si>
    <t>Perf. Fem. Volcan D'Amour 30ml</t>
  </si>
  <si>
    <t>E. Jabuticaba 10ml</t>
  </si>
  <si>
    <t>O. Pinho 10ml</t>
  </si>
  <si>
    <t>Perf. Fem. Roll On Laranja Amarga Solar 10ml (Col. Botânica)</t>
  </si>
  <si>
    <t>Perf. Masc. Laranja Amarga Solar 50ml (Col. Botânica)</t>
  </si>
  <si>
    <t>Perf. Fem. Rose Floral 100ml</t>
  </si>
  <si>
    <t>P/ Uso O. Roll On Benjoim 10ml</t>
  </si>
  <si>
    <t>Roll On O. Cravo Folha 10ml</t>
  </si>
  <si>
    <t>Profumo 082 - 65ml</t>
  </si>
  <si>
    <t>O. Roll On Alfazema 10ml</t>
  </si>
  <si>
    <t>Perf. Fem. Roll On Patchouli 10ml</t>
  </si>
  <si>
    <t>Perf. Masc. Roll On Ylang Ylang 10ml</t>
  </si>
  <si>
    <t>P/ Uso O. Roll On Limão Siciliano 10ml</t>
  </si>
  <si>
    <t>Perf. Fem. Roll On Baunilha &amp; Canela</t>
  </si>
  <si>
    <t>Perf. Fem. Baunilha &amp; Limão Siciliano 100ml</t>
  </si>
  <si>
    <t>Perf. Masc. Absolu Ylang Ylang 100ml</t>
  </si>
  <si>
    <t>Perf. Fem. Elixir Camomila 100ml</t>
  </si>
  <si>
    <t>Perf. Masc. Oud Madeira 100ml (Vidro Alto)</t>
  </si>
  <si>
    <t>Aromatizador 250ml - Alfazema</t>
  </si>
  <si>
    <t>E. Floral Frutal 60ml</t>
  </si>
  <si>
    <t>Perf. Fem. Afrodite 30ml</t>
  </si>
  <si>
    <t>E. Amora 10ml</t>
  </si>
  <si>
    <t>O. Lavanda da Bulgária 10ml</t>
  </si>
  <si>
    <t>Perf. Fem. Roll On Laranja Doce Brilhante 10ml (Col. Botânica)</t>
  </si>
  <si>
    <t>P/ Uso O. Roll On Copaíba 10ml</t>
  </si>
  <si>
    <t>Roll On O. Funcho Doce 10ml</t>
  </si>
  <si>
    <t>Profumo 096 - 65ml</t>
  </si>
  <si>
    <t>O. Roll On Patchouli Dark 10ml</t>
  </si>
  <si>
    <t>Perf. Fem. Roll On Palmarosa 10ml</t>
  </si>
  <si>
    <t>Perf. Masc. Spray Benjoim 10ml</t>
  </si>
  <si>
    <t>P/ Uso O. Roll On Inspirar 10ml (Eti. Amarela)</t>
  </si>
  <si>
    <t>Perf. Fem. Baunilha &amp; Patchouli 100ml</t>
  </si>
  <si>
    <t>Perf. Masc. Absolu Menta 100ml</t>
  </si>
  <si>
    <t>Perf. Fem. Elixir Gardênia 100ml</t>
  </si>
  <si>
    <t>Perf. Masc. Sultan 100ml (Vidro Alto)</t>
  </si>
  <si>
    <t>Aromatizador 250ml - Algodão</t>
  </si>
  <si>
    <t>E. Maçã Madura 60ml</t>
  </si>
  <si>
    <t>Perf. Fem. Jasmine 30ml</t>
  </si>
  <si>
    <t>E. Bambu 10ml</t>
  </si>
  <si>
    <t>O. Grapefruit da Espanha 10ml</t>
  </si>
  <si>
    <t>Perf. Fem. Roll On Lavanda da França 10ml (Col. Botânica)</t>
  </si>
  <si>
    <t>P/ Uso O. Roll On Canela 10ml</t>
  </si>
  <si>
    <t>Roll On O. Cedro da Virgínia 10ml</t>
  </si>
  <si>
    <t>Profumo 109 - 65ml</t>
  </si>
  <si>
    <t>O. Roll On Alecrim 10ml</t>
  </si>
  <si>
    <t>Perf. Fem. Spray Flor de Artemísia 10ml</t>
  </si>
  <si>
    <t>Perf. Masc. Spray Lemongrass 10ml</t>
  </si>
  <si>
    <t>Perf. Fem. Baunilha &amp; Rosa Branca 100ml</t>
  </si>
  <si>
    <t>Perf. Masc. Absolu Bergamota 100ml</t>
  </si>
  <si>
    <t>Perf. Fem. Elixir Flor de Lótus 100ml</t>
  </si>
  <si>
    <t>Perf. Masc. Pinho da Sibéria 100ml (Vidro Alto)</t>
  </si>
  <si>
    <t>Aromatizador 250ml - Dama da Noite</t>
  </si>
  <si>
    <t>E. Chiclete 60ml</t>
  </si>
  <si>
    <t>Perf. Masc. Dark Code 30ml</t>
  </si>
  <si>
    <t>E. Cereja 10ml</t>
  </si>
  <si>
    <t>Perf. Fem. Roll On Lavandim Energia 10ml (Col. Botânica)</t>
  </si>
  <si>
    <t>P/ Uso O. Roll On Cânfora Branca 10ml</t>
  </si>
  <si>
    <t>Roll On O. Citronela 10ml</t>
  </si>
  <si>
    <t>Profumo 117 - 65ml</t>
  </si>
  <si>
    <t>O. Roll On Limão Siciliano 10ml</t>
  </si>
  <si>
    <t>Perf. Fem. Spray  Lavanda Suíça 10ml</t>
  </si>
  <si>
    <t>Perf. Masc. Spray Limão Siciliano 10ml</t>
  </si>
  <si>
    <t>Perf. Fem. Bergamota &amp; Gengibre 100ml</t>
  </si>
  <si>
    <t>Perf. Masc. Absolu Noz-moscada 100ml</t>
  </si>
  <si>
    <t>Perf. Fem. Elixir Cravo Flor 100ml</t>
  </si>
  <si>
    <t>Perf. Masc. Copaíba da Amazônia 100ml (Vidro Alto)</t>
  </si>
  <si>
    <t>Aromatizador 250ml - Chá Branco</t>
  </si>
  <si>
    <t>E. Dama da Noite 60ml</t>
  </si>
  <si>
    <t>E. Pitanga 10ml</t>
  </si>
  <si>
    <t>Perf. Fem. Roll On May Chang da China 10ml (Col. Botânica)</t>
  </si>
  <si>
    <t>P/ Uso O. Roll On Cravo Folha 10ml</t>
  </si>
  <si>
    <t>Roll On O. Cipreste 10ml</t>
  </si>
  <si>
    <t>Profumo 166 - 65ml</t>
  </si>
  <si>
    <t>O. Roll On Menta Spicata 10ml</t>
  </si>
  <si>
    <t>Perf. Fem. Spray Flor de Angélica 10ml</t>
  </si>
  <si>
    <t>Perf. Masc. Spray Mandarina Verde 10ml</t>
  </si>
  <si>
    <t>Perf. Fem. Canela &amp; Olíbano 100ml</t>
  </si>
  <si>
    <t>Perf. Masc. Absolu Manjerona 100ml</t>
  </si>
  <si>
    <t>Perf. Masc. Le Tabac 100ml (Vidro Alto)</t>
  </si>
  <si>
    <t>Aromatizador 250ml - Alfazema &amp; Baunilha</t>
  </si>
  <si>
    <t>E. Pera &amp; Frésia 60ml</t>
  </si>
  <si>
    <t>E. Damasco 10ml</t>
  </si>
  <si>
    <t>Perf. Fem. Roll On Petitgrain Vibrante 10ml (Col. Botânica)</t>
  </si>
  <si>
    <t>P/ Uso O. Roll On Cravo Botão 10ml</t>
  </si>
  <si>
    <t>Roll On O. Cedro Atlas 10ml</t>
  </si>
  <si>
    <t>Profumo 169 - 65ml</t>
  </si>
  <si>
    <t>O. Roll On Eucalipto Staigeriana 10ml</t>
  </si>
  <si>
    <t>Perf. Fem. Spray Notas de Alecrim 10ml</t>
  </si>
  <si>
    <t>Perf. Masc. Spray Noz Moscada 10ml</t>
  </si>
  <si>
    <t>Perf. Fem. Cravo da Índia &amp; Canela 100ml</t>
  </si>
  <si>
    <t>Perf. Fem. Erva Doce da Espanha 100ml (Vidro Alto)</t>
  </si>
  <si>
    <t>Aromatizador 250ml - Limão Siciliano</t>
  </si>
  <si>
    <t>E. Lavanda Inglesa 60ml</t>
  </si>
  <si>
    <t>E. Pera 10ml</t>
  </si>
  <si>
    <t>Perf. Fem. Roll On Wintergreen Refrescante 10ml (Col. Botânica)</t>
  </si>
  <si>
    <t>P/ Uso O. Roll On Cedro da Virgínia 10ml</t>
  </si>
  <si>
    <t>Roll On O. Capim Limão 10ml</t>
  </si>
  <si>
    <t>Profumo 178 - 65ml</t>
  </si>
  <si>
    <t>O. Roll On Copaíba 10ml</t>
  </si>
  <si>
    <t>Perf. Fem. Spray Mirra 10ml</t>
  </si>
  <si>
    <t>Perf. Masc. Spray Ylang Ylang 10ml</t>
  </si>
  <si>
    <t>Perf. Fem. Dama da Noite &amp; Alfazema 100ml</t>
  </si>
  <si>
    <t>Perf. Masc. Absolu Patchouli Puro 100ml</t>
  </si>
  <si>
    <t>Perf. Masc. Cipreste da Toscana 100ml (Vidro Alto)</t>
  </si>
  <si>
    <t>Aromatizador 250ml - Hortelã</t>
  </si>
  <si>
    <t>E. Rosas 100ml</t>
  </si>
  <si>
    <t>E. Pêssego 10ml</t>
  </si>
  <si>
    <t>Perf. Fem. Roll On Ylang Ylang Exuberante 10ml (Col. Botânica)</t>
  </si>
  <si>
    <t>P/ Uso O. Roll On Citronela 10ml</t>
  </si>
  <si>
    <t>Roll On O. Eucalipto Globulus 10ml</t>
  </si>
  <si>
    <t>Profumo 182 - 65ml</t>
  </si>
  <si>
    <t>O. Roll On Laranja Amarga 10ml</t>
  </si>
  <si>
    <t>Perf. Fem. Spray Patchouli 10ml</t>
  </si>
  <si>
    <t>Perf. Masc. Spray Patchouli Puro 10ml (Kit)</t>
  </si>
  <si>
    <t>Perf. Fem. Dama da Noite &amp; Baunilha 100ml</t>
  </si>
  <si>
    <t>Perf. Masc. Absolu Olíbano 100ml</t>
  </si>
  <si>
    <t>Aromatizador 250ml - Baunilha</t>
  </si>
  <si>
    <t>E. Bambu e Chá Branco 60ml</t>
  </si>
  <si>
    <t>E. Chiclete 10ml</t>
  </si>
  <si>
    <t>Perf. Fem. Spray Artemísia Marroquina 10ml (Col. Botânica)</t>
  </si>
  <si>
    <t>P/ Uso O. Roll On Cipreste 10ml</t>
  </si>
  <si>
    <t>Roll On O. Eucalipto Citriodora 10ml</t>
  </si>
  <si>
    <t>Profumo 186 - 65ml</t>
  </si>
  <si>
    <t>Perf. Fem. Spray Palmarosa 10ml</t>
  </si>
  <si>
    <t>Perf. Masc. Roll On Patchouli Puro 10ml (Kit)</t>
  </si>
  <si>
    <t>Perf. Fem. Dama da Noite &amp; Mirra 100ml</t>
  </si>
  <si>
    <t>Perf. Masc. Absolu Limão Siciliano 100ml</t>
  </si>
  <si>
    <t>Aromatizador 250ml - Maçã Verde</t>
  </si>
  <si>
    <t>E. Bambu 60ml</t>
  </si>
  <si>
    <t>Perf. Fem. Spray Gerânio Elegante 10ml (Col. Botânica)</t>
  </si>
  <si>
    <t>P/ Uso O. Roll On Cedro Atlas 10ml</t>
  </si>
  <si>
    <t>Roll On O. Eucalipto Staigeriana 10ml</t>
  </si>
  <si>
    <t>Profumo 225 - 65ml</t>
  </si>
  <si>
    <t>Perf. Fem. Spray Pau Rosa 10ml</t>
  </si>
  <si>
    <t>Perf. Masc. Roll On Gerânio 10ml</t>
  </si>
  <si>
    <t>Perf. Fem. Dama da Noite &amp; Olíbano 100ml</t>
  </si>
  <si>
    <t>Perf. Masc. Absolu Flor de Laranjeira 100ml</t>
  </si>
  <si>
    <t>Aromatizador 250ml - Alecrim</t>
  </si>
  <si>
    <t>E. Tutti-Frutti 60ml</t>
  </si>
  <si>
    <t>Perf. Fem. Spray Grapefruit Vibrante 10ml (Col. Botânica)</t>
  </si>
  <si>
    <t>P/ Uso O. Roll On Capim Limão 10ml</t>
  </si>
  <si>
    <t>Roll On O. Grapefruit 10ml</t>
  </si>
  <si>
    <t>Profumo 231 - 65ml</t>
  </si>
  <si>
    <t>Perf. Fem. Roll On Pau Rosa 10ml</t>
  </si>
  <si>
    <t>Perf. Masc. Spray Gerânio 10ml</t>
  </si>
  <si>
    <t>Perf. Fem. Flor de Jasmim &amp; Baunilha 100ml</t>
  </si>
  <si>
    <t>Perf. Masc. Absolu Cedro 100ml</t>
  </si>
  <si>
    <t>Aromatizador 250ml - Chocolate</t>
  </si>
  <si>
    <t>E. Pera 60ml</t>
  </si>
  <si>
    <t>Perf. Fem. Spray Ho Wood Elegante 10ml (Col. Botânica)</t>
  </si>
  <si>
    <t>P/ Uso O. Roll On Eucalipto Globulus 10ml</t>
  </si>
  <si>
    <t>Roll On O. Hortelã Pimenta 10ml</t>
  </si>
  <si>
    <t>Profumo 261 - 65ml</t>
  </si>
  <si>
    <t>Perf. Fem. Roll On Flor de Lótus 10ml</t>
  </si>
  <si>
    <t>Perf. Masc. Roll On Bergamota 10ml</t>
  </si>
  <si>
    <t>Perf. Fem. Flor de Jasmim &amp; Cedro 100ml</t>
  </si>
  <si>
    <t>Perf. Masc. Absolu Almíscar Oriental 100ml</t>
  </si>
  <si>
    <t>Aromatizador 250ml - Bamboo</t>
  </si>
  <si>
    <t>E. Rosas 60ml</t>
  </si>
  <si>
    <t>Perf. Fem. Spray Laranja Amarga Solar 10ml (Col. Botânica)</t>
  </si>
  <si>
    <t>P/ Uso O. Roll On Eucalipto Citriodora 10ml</t>
  </si>
  <si>
    <t>Roll On O. Limão Tahiti 10ml</t>
  </si>
  <si>
    <t>Profumo 272 - 65ml</t>
  </si>
  <si>
    <t>Perf. Fem. Roll On Lima-Limão 10ml</t>
  </si>
  <si>
    <t>Perf. Masc. Spray Bergamota 10ml</t>
  </si>
  <si>
    <t>Perf. Fem. Gardênia &amp; Flor de Maçã 100ml</t>
  </si>
  <si>
    <t>Perf. Masc. Absolu Benjoim 100ml</t>
  </si>
  <si>
    <t>E. Priprioca 60ml</t>
  </si>
  <si>
    <t>Perf. Fem. Spray Laranja Doce Brilhante 10ml (Col. Botânica)</t>
  </si>
  <si>
    <t>P/ Uso O. Roll On Eucalipto Staigeriana 10ml</t>
  </si>
  <si>
    <t>Roll On O. Lavandim 10ml</t>
  </si>
  <si>
    <t>Profumo 311 - 65ml</t>
  </si>
  <si>
    <t>Perf. Fem. Roll On Dama da Noite 10ml</t>
  </si>
  <si>
    <t>Perf. Masc. Spray Petitgrain 10ml</t>
  </si>
  <si>
    <t>Perf. Fem. Hortelã &amp; Menta Adventure 100ml</t>
  </si>
  <si>
    <t>Perf. Masc. Absolu Cítrico 100ml</t>
  </si>
  <si>
    <t>E. Jasmim 60ml</t>
  </si>
  <si>
    <t>Perf. Fem. Spray Lavanda da França 10ml (Col. Botânica)</t>
  </si>
  <si>
    <t>P/ Uso O. Roll On Grapefruit 10ml</t>
  </si>
  <si>
    <t>Roll On O. Laranja Amarga 10ml</t>
  </si>
  <si>
    <t>Profumo 325 - 65ml</t>
  </si>
  <si>
    <t>Perf. Fem. Spray Flor de Lótus 10ml</t>
  </si>
  <si>
    <t>Perf. Masc. Roll On Petitgrain 10ml</t>
  </si>
  <si>
    <t>Perf. Fem. Lavanda &amp; Limão Siciliano 100ml</t>
  </si>
  <si>
    <t>E. Chá Branco 60ml</t>
  </si>
  <si>
    <t>Perf. Fem. Spray Lavandim Energia 10ml (Col. Botânica)</t>
  </si>
  <si>
    <t>P/ Uso O. Roll On Gengibre 10ml</t>
  </si>
  <si>
    <t>Roll On O. Limão Siciliano 10ml</t>
  </si>
  <si>
    <t>Profumo 351 - 65ml</t>
  </si>
  <si>
    <t>Perf. Fem. Spray Lima-Limão 10ml</t>
  </si>
  <si>
    <t>Perf. Fem. Lavanda &amp; Verbena 100ml</t>
  </si>
  <si>
    <t>E. Patchouli 60ml</t>
  </si>
  <si>
    <t>Perf. Fem. Spray May Chang da China 10ml (Col. Botânica)</t>
  </si>
  <si>
    <t>P/ Uso O. Roll On Gerânio 10ml</t>
  </si>
  <si>
    <t>Roll On O. Manjerona 10ml</t>
  </si>
  <si>
    <t>Profumo 374 - 65ml</t>
  </si>
  <si>
    <t>Perf. Fem. Spray Dama da Noite 10ml</t>
  </si>
  <si>
    <t>Perf. Fem. Lima-Limão &amp; Patchouli 100ml</t>
  </si>
  <si>
    <t>Perf. Fem. Spray Petitgrain Vibrante 10ml (Col. Botânica)</t>
  </si>
  <si>
    <t>P/ Uso O. Roll On Ho Wood 10ml</t>
  </si>
  <si>
    <t>Roll On O. Menta Spicata 10ml</t>
  </si>
  <si>
    <t>Profumo 394 - 65ml</t>
  </si>
  <si>
    <t>Perf. Fem. Roll On Gardênia 10ml</t>
  </si>
  <si>
    <t>Perf. Fem. Notas de Alecrim &amp; Lavanda 100ml</t>
  </si>
  <si>
    <t>Perf. Fem. Spray Wintergreen Refrescante 10ml (Col. Botânica)</t>
  </si>
  <si>
    <t>P/ Uso O. Roll On Hortelã Pimenta 10ml</t>
  </si>
  <si>
    <t>Roll On O. Melaleuca 10ml</t>
  </si>
  <si>
    <t>Profumo 399 - 65ml</t>
  </si>
  <si>
    <t>Perf. Fem. Roll On Erva Doce 10ml</t>
  </si>
  <si>
    <t>Perf. Fem. Olíbano &amp; Mirra 100ml</t>
  </si>
  <si>
    <t>Perf. Fem. Spray Ylang Ylang Exuberante 10ml (Col. Botânica)</t>
  </si>
  <si>
    <t>P/ Uso O. Roll On Limão Tahiti 10ml</t>
  </si>
  <si>
    <t>Roll On O. Menta Arvensis 10ml</t>
  </si>
  <si>
    <t>Profumo 409 - 65ml</t>
  </si>
  <si>
    <t>Perf. Fem. Roll On Sálvia 10ml</t>
  </si>
  <si>
    <t>Perf. Fem. Patchouli &amp; Mirra 100ml</t>
  </si>
  <si>
    <t>Perf. Masc. Roll On Capim Limão 10ml (Col. Botânica)</t>
  </si>
  <si>
    <t>Roll On O. Pimenta Rosa 10ml</t>
  </si>
  <si>
    <t>Profumo 413 - 65ml</t>
  </si>
  <si>
    <t>Perf. Fem. Roll On Petitgrain 10ml</t>
  </si>
  <si>
    <t>Perf. Fem. Rosas Vermelhas &amp; Olíbano 100ml</t>
  </si>
  <si>
    <t>Perf. Masc. Roll On Cipreste Imperial 10ml (Col. Botânica)</t>
  </si>
  <si>
    <t>P/ Uso O. Roll On Laranja Doce 10ml</t>
  </si>
  <si>
    <t>Roll On O. Patchouli 10ml</t>
  </si>
  <si>
    <t>Profumo 416 - 65ml</t>
  </si>
  <si>
    <t>Perf. Fem. Spray Gardênia 10ml</t>
  </si>
  <si>
    <t>Perf. Fem. Sexy Cravo Flor &amp; Canela 100ml</t>
  </si>
  <si>
    <t>Perf. Masc. Roll On Copaíba Amazônica 10ml (Col. Botânica)</t>
  </si>
  <si>
    <t>P/ Uso O. Roll On Louro 10ml</t>
  </si>
  <si>
    <t>Roll On O. Pimenta Preta 10ml</t>
  </si>
  <si>
    <t>Profumo 634 - 65ml</t>
  </si>
  <si>
    <t>Perf. Fem. Spray Erva Doce 10ml</t>
  </si>
  <si>
    <t>Perf. Fem. Ylang Ylang &amp; Mirra 100ml</t>
  </si>
  <si>
    <t>Perf. Masc. Roll On Cravo Intenso 10ml (Col. Botânica)</t>
  </si>
  <si>
    <t>P/ Uso O. Roll On Lavanda 10ml</t>
  </si>
  <si>
    <t>Roll On O. Sândalo 10ml</t>
  </si>
  <si>
    <t>Profumo 642 - 65ml</t>
  </si>
  <si>
    <t>Perf. Fem. Spray Sálvia 10ml</t>
  </si>
  <si>
    <t>Perf. Masc. Roll On Eucalipto Refrescante 10ml (Col. Botânica)</t>
  </si>
  <si>
    <t>P/ Uso O. Roll On Lavandim 10ml</t>
  </si>
  <si>
    <t>Roll On O. Tangerina 10ml</t>
  </si>
  <si>
    <t>Profumo 718 - 65ml</t>
  </si>
  <si>
    <t>Perf. Fem. Spray Petitgrain 10ml</t>
  </si>
  <si>
    <t>Perf. Masc. Roll On Gerânio Elegante 10ml (Col. Botânica)</t>
  </si>
  <si>
    <t>P/ Uso O. Roll On Lemongrass 10ml</t>
  </si>
  <si>
    <t>Roll On O. Wintergreen 10ml</t>
  </si>
  <si>
    <t>Profumo 729 - 65ml</t>
  </si>
  <si>
    <t>Perf. Fem. Spray Anis 10ml</t>
  </si>
  <si>
    <t>Perf. Masc. Roll On Laranja Amarga Solar 10ml (Col. Botânica)</t>
  </si>
  <si>
    <t>P/ Uso O. Roll On Laranja Amarga 10ml</t>
  </si>
  <si>
    <t>Profumo 783 - 65ml</t>
  </si>
  <si>
    <t>Perf. Fem. Roll On Anis 10ml</t>
  </si>
  <si>
    <t>Perf. Masc. Roll On Laranja Doce Brilhante 10ml (Col. Botânica)</t>
  </si>
  <si>
    <t>Profumo 797 - 65ml</t>
  </si>
  <si>
    <t>Perf. Masc. Roll On Lavanda da França 10ml (Col. Botânica)</t>
  </si>
  <si>
    <t>P/ Uso O. Roll On Manjerona 10ml</t>
  </si>
  <si>
    <t>Profumo 902 - 65ml</t>
  </si>
  <si>
    <t>Perf. Masc. Roll On Limão Siciliano 10ml (Col. Botânica)</t>
  </si>
  <si>
    <t>P/ Uso O. Roll On Menta Spicata 10ml</t>
  </si>
  <si>
    <t>Profumo 916 - 65ml</t>
  </si>
  <si>
    <t>Perf. Masc. Roll On Limão Tahiti 10ml (Col. Botânica)</t>
  </si>
  <si>
    <t>P/ Uso O. Roll On Mandarina 10ml</t>
  </si>
  <si>
    <t>Profumo 921 - 65ml</t>
  </si>
  <si>
    <t>Perf. Masc. Roll On Mandarina Verde 10ml (Col. Botânica)</t>
  </si>
  <si>
    <t>P/ Uso O. Roll On Melaleuca 10ml</t>
  </si>
  <si>
    <t>Profumo 946 - 65ml</t>
  </si>
  <si>
    <t>Perf. Masc. Roll On Manjerona Herbal 10ml (Col. Botânica)</t>
  </si>
  <si>
    <t>P/ Uso O. Roll On Menta Arvensis 10ml</t>
  </si>
  <si>
    <t>Profumo 950 - 65ml</t>
  </si>
  <si>
    <t>Perf. Masc. Roll On Menta Refrescante 10ml (Col. Botânica)</t>
  </si>
  <si>
    <t>P/ Uso O. Roll On Noz Moscada 10ml</t>
  </si>
  <si>
    <t>Profumo 951 - 65ml</t>
  </si>
  <si>
    <t>Perf. Masc. Roll On Olíbano Sagrado 10ml (Col. Botânica)</t>
  </si>
  <si>
    <t>Profumo 954 - 65ml</t>
  </si>
  <si>
    <t>Perf. Masc. Roll On Orégano Gourmand 10ml (Col. Botânica)</t>
  </si>
  <si>
    <t>P/ Uso O. Roll On Olíbano 10ml</t>
  </si>
  <si>
    <t>Profumo 970 - 65ml</t>
  </si>
  <si>
    <t>Perf. Masc. Roll On Patchouli Dark Misterioso 10ml (Col. Botânica)</t>
  </si>
  <si>
    <t>P/ Uso O. Roll On Pimenta Rosa 10ml</t>
  </si>
  <si>
    <t>Profumo 266 - 65ml</t>
  </si>
  <si>
    <t>Perf. Masc. Roll On Tangerina Radiante 10ml (Col. Botânica)</t>
  </si>
  <si>
    <t>P/ Uso O. Roll On Palmarosa 10ml</t>
  </si>
  <si>
    <t>Profumo 926 - 65ml</t>
  </si>
  <si>
    <t>Perf. Masc. Roll On Ylang Ylang Exuberante 10ml (Col. Botânica)</t>
  </si>
  <si>
    <t>P/ Uso O. Roll On Patchouli 10ml</t>
  </si>
  <si>
    <t>Profumo 750 - 65ml</t>
  </si>
  <si>
    <t>Perf. Masc. Spray Capim Limão 10ml (Col. Botânica)</t>
  </si>
  <si>
    <t>P/ Uso O. Roll On Pimenta Preta 10ml</t>
  </si>
  <si>
    <t>Profumo 905 - 65ml</t>
  </si>
  <si>
    <t>Perf. Masc. Spray Cipreste Imperial 10ml (Col. Botânica)</t>
  </si>
  <si>
    <t>P/ Uso O. Roll On Sálvia 10ml</t>
  </si>
  <si>
    <t>Profumo 092 - 65ml</t>
  </si>
  <si>
    <t>Perf. Masc. Spray Copaíba Amazônica 10ml (Col. Botânica)</t>
  </si>
  <si>
    <t>P/ Uso O. Roll On Sândalo 10ml</t>
  </si>
  <si>
    <t>Profumo 937 - 65ml</t>
  </si>
  <si>
    <t>Perf. Masc. Spray Cravo Intenso 10ml (Col. Botânica)</t>
  </si>
  <si>
    <t>P/ Uso O. Roll On Tangerina 10ml</t>
  </si>
  <si>
    <t>Profumo 378 - 65ml</t>
  </si>
  <si>
    <t>Perf. Masc. Spray Eucalipto Refrescante 10ml (Col. Botânica)</t>
  </si>
  <si>
    <t>P/ Uso O. Roll On Tomilho 10ml</t>
  </si>
  <si>
    <t>Profumo 804 - 65ml</t>
  </si>
  <si>
    <t>Perf. Masc. Spray Gerânio Elegante 10ml (Col. Botânica)</t>
  </si>
  <si>
    <t>P/ Uso O. Roll On Wintergreen 10ml</t>
  </si>
  <si>
    <t>Perf. Masc. Spray Laranja Amarga Solar 10ml (Col. Botânica)</t>
  </si>
  <si>
    <t>Perf. Masc. Spray Laranja Doce Brilhante 10ml (Col. Botânica)</t>
  </si>
  <si>
    <t>P/ Uso O. Roll On Zímbro 10ml</t>
  </si>
  <si>
    <t>Perf. Masc. Spray Lavanda da França 10ml (Col. Botânica)</t>
  </si>
  <si>
    <t>Perf. Masc. Spray Limão Siciliano 10ml (Col. Botânica)</t>
  </si>
  <si>
    <t>Perf. Masc. Spray Limão Tahiti 10ml (Col. Botânica)</t>
  </si>
  <si>
    <t>Perf. Masc. Spray Mandarina Verde 10ml (Col. Botânica)</t>
  </si>
  <si>
    <t>Perf. Masc. Spray Manjerona Herbal 10ml (Col. Botânica)</t>
  </si>
  <si>
    <t>Perf. Masc. Spray Menta Refrescante 10ml (Col. Botânica)</t>
  </si>
  <si>
    <t>Perf. Masc. Spray Olíbano Sagrado 10ml (Col. Botânica)</t>
  </si>
  <si>
    <t>Perf. Masc. Spray Orégano Gourmand 10ml (Col. Botânica)</t>
  </si>
  <si>
    <t>Perf. Masc. Spray Patchouli Dark Misterioso 10ml (Col. Botânica)</t>
  </si>
  <si>
    <t>Perf. Masc. Spray Tangerina Radiante 10ml (Col. Botânica)</t>
  </si>
  <si>
    <t>Perf. Masc. Spray Ylang Ylang Exuberante 10ml (Col. Botânica)</t>
  </si>
  <si>
    <t>Perf. Masc. Roll On Louro Nobre Romano 10ml (Col. Botânica)</t>
  </si>
  <si>
    <t>Perf. Masc. Spray Louro Nobre Romano 10ml (Col. Botânica)</t>
  </si>
  <si>
    <t>Produto</t>
  </si>
  <si>
    <t>Caixa</t>
  </si>
  <si>
    <t xml:space="preserve">Código de Barras
</t>
  </si>
  <si>
    <t>Data Produção Etiqueta</t>
  </si>
  <si>
    <t>Lote</t>
  </si>
  <si>
    <t>Validade</t>
  </si>
  <si>
    <t>Dias Restantes</t>
  </si>
  <si>
    <t>Status</t>
  </si>
  <si>
    <t>Precisa Produzir</t>
  </si>
  <si>
    <t>Estoque</t>
  </si>
  <si>
    <t>Observação</t>
  </si>
  <si>
    <t>----</t>
  </si>
  <si>
    <t>Genérica</t>
  </si>
  <si>
    <t>001/26</t>
  </si>
  <si>
    <t>TEMOS</t>
  </si>
  <si>
    <t>Patchouli Masculino</t>
  </si>
  <si>
    <t>Patchouli Puro Masculino</t>
  </si>
  <si>
    <t>Patchouli Feminino</t>
  </si>
  <si>
    <t>Oceanus Masculino</t>
  </si>
  <si>
    <t>Dark Code Masculino</t>
  </si>
  <si>
    <t>Dark Tabac Masculino</t>
  </si>
  <si>
    <t>Opium Chine Feminino</t>
  </si>
  <si>
    <t>Dama da Noite Feminino</t>
  </si>
  <si>
    <t>Pure Instinct Feminino</t>
  </si>
  <si>
    <t>Attraction Feminino</t>
  </si>
  <si>
    <t>Attraction Masculino</t>
  </si>
  <si>
    <t>Limão Siciliano Masculino</t>
  </si>
  <si>
    <t>Almíscar Selvagem Masculino</t>
  </si>
  <si>
    <t>Attar Masculino</t>
  </si>
  <si>
    <t>Patchouli Dark Misterioso Masculino</t>
  </si>
  <si>
    <t>Patchouli Dark Misterioso Feminino</t>
  </si>
  <si>
    <t>Tabac Patchouli Masculino</t>
  </si>
  <si>
    <t>Golf Blue Masculino</t>
  </si>
  <si>
    <t>Código</t>
  </si>
  <si>
    <t>Dias para Vencer</t>
  </si>
  <si>
    <t>Status Produto</t>
  </si>
  <si>
    <t>Tem Etiqueta?</t>
  </si>
  <si>
    <t>Precisa Produzir?</t>
  </si>
  <si>
    <t>Prioridade Produção</t>
  </si>
  <si>
    <t>Observações</t>
  </si>
  <si>
    <t>ChatGPT</t>
  </si>
  <si>
    <t>Claude</t>
  </si>
  <si>
    <t>Barra de Pesquisa</t>
  </si>
  <si>
    <t>index</t>
  </si>
  <si>
    <t>estilos</t>
  </si>
  <si>
    <t>sidebar</t>
  </si>
  <si>
    <t>page-inventario</t>
  </si>
  <si>
    <t>page-validade</t>
  </si>
  <si>
    <t>scripts</t>
  </si>
  <si>
    <t>home</t>
  </si>
  <si>
    <t>https://github.com/victor-bot-01/apps-script-temp</t>
  </si>
  <si>
    <t>&lt;!DOCTYPE html&gt;
&lt;html lang="pt-BR"&gt;
&lt;head&gt;
  &lt;meta charset="UTF-8" /&gt;
  &lt;meta name="viewport" content="width=device-width, initial-scale=1.0" /&gt;
  &lt;title&gt;Busca de Inventário&lt;/title&gt;
  &lt;style&gt;
    :root {
      --bg: #f4f2ec;
      --bg-soft: #faf8f3;
      --card: rgba(255, 255, 255, 0.82);
      --card-strong: #ffffff;
      --text: #203124;
      --muted: #6b756d;
      --line: #d9dfd7;
      --primary: #2f6b3d;
      --primary-strong: #22522e;
      --primary-soft: #e9f3eb;
      --accent: #b48a4a;
      --shadow: 0 18px 45px rgba(34, 47, 39, 0.10);
      --radius-xl: 24px;
      --radius-lg: 18px;
      --radius-md: 14px;
      --radius-sm: 12px;
      --transition: 0.22s ease;
    }
    * {
      box-sizing: border-box;
    }
    html,
    body {
      margin: 0;
      padding: 0;
      min-height: 100%;
      font-family: "Segoe UI", Inter, Arial, sans-serif;
      color: var(--text);
      background:
        radial-gradient(circle at top left, #ffffff 0%, rgba(255,255,255,0.65) 25%, transparent 45%),
        linear-gradient(180deg, #f7f5ef 0%, #f1efe8 100%);
    }
    body {
      min-height: 100vh;
      display: flex;
      align-items: center;
      justify-content: center;
      padding: 28px;
    }
    .shell {
      width: 100%;
      max-width: 980px;
    }
    .panel {
      background: var(--card);
      backdrop-filter: blur(10px);
      border: 1px solid rgba(255, 255, 255, 0.75);
      border-radius: var(--radius-xl);
      box-shadow: var(--shadow);
      overflow: hidden;
    }
    .panel-top {
      padding: 34px 34px 24px;
      background:
        linear-gradient(135deg, rgba(47,107,61,0.08), rgba(180,138,74,0.05)),
        linear-gradient(180deg, rgba(255,255,255,0.84), rgba(255,255,255,0.68));
      border-bottom: 1px solid rgba(47, 107, 61, 0.08);
    }
    .eyebrow {
      display: inline-flex;
      align-items: center;
      gap: 8px;
      font-size: 12px;
      letter-spacing: 0.12em;
      text-transform: uppercase;
      color: var(--primary);
      font-weight: 700;
      margin-bottom: 12px;
    }
    .eyebrow-dot {
      width: 8px;
      height: 8px;
      border-radius: 50%;
      background: linear-gradient(135deg, var(--primary), var(--accent));
      box-shadow: 0 0 0 6px rgba(47, 107, 61, 0.08);
    }
    h1 {
      margin: 0;
      font-size: clamp(28px, 4vw, 40px);
      line-height: 1.1;
      letter-spacing: -0.03em;
      color: var(--primary-strong);
    }
    .subtitle {
      margin: 12px 0 0;
      max-width: 700px;
      font-size: 16px;
      line-height: 1.65;
      color: var(--muted);
    }
    .search-area {
      padding: 28px 34px 18px;
      background: rgba(255, 255, 255, 0.55);
    }
    .search-form {
      display: grid;
      grid-template-columns: 1fr auto;
      gap: 14px;
      align-items: stretch;
    }
    .input-wrap {
      position: relative;
    }
    .input-icon {
      position: absolute;
      top: 50%;
      left: 18px;
      transform: translateY(-50%);
      width: 20px;
      height: 20px;
      color: #7a857c;
      pointer-events: none;
    }
    .search-input {
      width: 100%;
      height: 62px;
      padding: 0 18px 0 52px;
      border: 1px solid var(--line);
      border-radius: 18px;
      background: rgba(255,255,255,0.95);
      color: var(--text);
      font-size: 18px;
      outline: none;
      transition: border-color var(--transition), box-shadow var(--transition), transform var(--transition);
      box-shadow: inset 0 1px 0 rgba(255,255,255,0.75);
    }
    .search-input::placeholder {
      color: #8b958e;
    }
    .search-input:focus {
      border-color: rgba(47, 107, 61, 0.45);
      box-shadow: 0 0 0 5px rgba(47, 107, 61, 0.10);
    }
    .search-btn {
      min-width: 170px;
      height: 62px;
      border: none;
      border-radius: 18px;
      background: linear-gradient(180deg, #357946 0%, #275f35 100%);
      color: #fff;
      font-size: 16px;
      font-weight: 700;
      cursor: pointer;
      transition: transform var(--transition), box-shadow var(--transition), opacity var(--transition);
      box-shadow: 0 14px 28px rgba(47, 107, 61, 0.22);
    }
    .search-btn:hover {
      transform: translateY(-1px);
      box-shadow: 0 18px 34px rgba(47, 107, 61, 0.26);
    }
    .search-btn:active {
      transform: translateY(0);
    }
    .search-btn:disabled {
      opacity: 0.75;
      cursor: wait;
    }
    .quick-searches {
      display: flex;
      flex-wrap: wrap;
      gap: 10px;
      margin-top: 18px;
    }
    .chip {
      border: 1px solid rgba(47, 107, 61, 0.14);
      background: rgba(255,255,255,0.85);
      color: var(--primary-strong);
      padding: 10px 14px;
      border-radius: 999px;
      font-size: 14px;
      font-weight: 600;
      cursor: pointer;
      transition: background var(--transition), transform var(--transition), border-color var(--transition);
    }
    .chip:hover {
      background: var(--primary-soft);
      border-color: rgba(47, 107, 61, 0.24);
      transform: translateY(-1px);
    }
    .content {
      padding: 10px 34px 34px;
    }
    .meta {
      display: flex;
      align-items: center;
      justify-content: space-between;
      gap: 12px;
      min-height: 32px;
      margin-bottom: 18px;
    }
    .meta-left {
      display: flex;
      align-items: center;
      gap: 10px;
      flex-wrap: wrap;
    }
    .status-text {
      font-size: 14px;
      color: var(--muted);
    }
    .results-count {
      display: none;
      padding: 8px 12px;
      border-radius: 999px;
      background: var(--primary-soft);
      color: var(--primary-strong);
      font-size: 13px;
      font-weight: 700;
    }
    .results-count.show {
      display: inline-flex;
      align-items: center;
    }
    .state {
      border: 1px dashed rgba(47,107,61,0.18);
      background: linear-gradient(180deg, rgba(255,255,255,0.92), rgba(250,248,243,0.98));
      border-radius: 22px;
      padding: 38px 24px;
      text-align: center;
      color: var(--muted);
    }
    .state-icon {
      width: 64px;
      height: 64px;
      margin: 0 auto 16px;
      border-radius: 20px;
      display: grid;
      place-items: center;
      background: linear-gradient(135deg, rgba(47,107,61,0.10), rgba(180,138,74,0.10));
      color: var(--primary);
    }
    .state-title {
      font-size: 22px;
      font-weight: 800;
      color: var(--text);
      margin-bottom: 10px;
      letter-spacing: -0.02em;
    }
    .state-desc {
      max-width: 560px;
      margin: 0 auto;
      line-height: 1.65;
      font-size: 15px;
    }
    .loading-row {
      display: flex;
      align-items: center;
      justify-content: center;
      gap: 12px;
      padding: 20px 12px;
      color: var(--muted);
      font-size: 15px;
      font-weight: 600;
    }
    .spinner {
      width: 18px;
      height: 18px;
      border-radius: 50%;
      border: 2px solid rgba(47,107,61,0.18);
      border-top-color: var(--primary);
      animation: spin 0.8s linear infinite;
    }
    @keyframes spin {
      to { transform: rotate(360deg); }
    }
    .results-grid {
      display: grid;
      grid-template-columns: repeat(auto-fit, minmax(260px, 1fr));
      gap: 16px;
    }
    .result-card {
      position: relative;
      background: var(--card-strong);
      border: 1px solid rgba(47,107,61,0.10);
      border-radius: 20px;
      padding: 20px;
      box-shadow: 0 10px 22px rgba(28, 39, 33, 0.05);
      transition: transform var(--transition), box-shadow var(--transition), border-color var(--transition);
      overflow: hidden;
    }
    .result-card:hover {
      transform: translateY(-3px);
      box-shadow: 0 18px 30px rgba(28, 39, 33, 0.09);
      border-color: rgba(47,107,61,0.20);
    }
    .result-card::before {
      content: "";
      position: absolute;
      inset: 0 auto 0 0;
      width: 5px;
      background: linear-gradient(180deg, var(--primary), var(--accent));
    }
    .result-top {
      display: flex;
      align-items: flex-start;
      justify-content: space-between;
      gap: 12px;
      margin-bottom: 16px;
    }
    .result-label {
      font-size: 12px;
      letter-spacing: 0.08em;
      text-transform: uppercase;
      color: #809082;
      font-weight: 700;
      margin-bottom: 8px;
    }
    .result-name {
      font-size: 18px;
      line-height: 1.4;
      font-weight: 800;
      color: #1f2f22;
      word-break: break-word;
    }
    .badge {
      flex-shrink: 0;
      display: inline-flex;
      align-items: center;
      gap: 8px;
      background: #f4f8f5;
      color: var(--primary-strong);
      border: 1px solid rgba(47,107,61,0.10);
      padding: 8px 12px;
      border-radius: 999px;
      font-size: 13px;
      font-weight: 700;
      white-space: nowrap;
    }
    .result-bottom {
      display: flex;
      align-items: center;
      justify-content: space-between;
      gap: 14px;
      padding-top: 14px;
      border-top: 1px solid #edf1ed;
    }
    .result-meta {
      color: var(--muted);
      font-size: 14px;
      line-height: 1.5;
    }
    .result-meta strong {
      color: var(--text);
    }
    .empty-note {
      font-size: 13px;
      color: #8c948d;
      margin-top: 10px;
    }
    .footer-note {
      margin-top: 18px;
      font-size: 13px;
      color: #8a918b;
      text-align: center;
    }
    .hidden {
      display: none !important;
    }
    @media (max-width: 760px) {
      body {
        padding: 16px;
        align-items: flex-start;
      }
      .panel-top,
      .search-area,
      .content {
        padding-left: 18px;
        padding-right: 18px;
      }
      .panel-top {
        padding-top: 24px;
      }
      .search-form {
        grid-template-columns: 1fr;
      }
      .search-btn {
        width: 100%;
        min-width: 0;
      }
      .results-grid {
        grid-template-columns: 1fr;
      }
      .result-top,
      .result-bottom {
        flex-direction: column;
        align-items: flex-start;
      }
    }
  &lt;/style&gt;
&lt;/head&gt;
&lt;body&gt;
  &lt;main class="shell"&gt;
    &lt;section class="panel"&gt;
      &lt;div class="panel-top"&gt;
        &lt;div class="eyebrow"&gt;
          &lt;span class="eyebrow-dot"&gt;&lt;/span&gt;
          Inventário
        &lt;/div&gt;
        &lt;h1&gt;Busca de Inventário&lt;/h1&gt;
        &lt;p class="subtitle"&gt;
          Encontre rapidamente produtos disponíveis no estoque e veja em quais caixas eles estão localizados.
        &lt;/p&gt;
      &lt;/div&gt;
      &lt;div class="search-area"&gt;
        &lt;form class="search-form" onsubmit="buscar(event)"&gt;
          &lt;div class="input-wrap"&gt;
            &lt;svg class="input-icon" viewBox="0 0 24 24" fill="none" aria-hidden="true"&gt;
              &lt;path d="M21 21L16.65 16.65M18 11C18 14.866 14.866 18 11 18C7.13401 18 4 14.866 4 11C4 7.13401 7.13401 4 11 4C14.866 4 18 7.13401 18 11Z"
                    stroke="currentColor" stroke-width="2" stroke-linecap="round" stroke-linejoin="round"/&gt;
            &lt;/svg&gt;
            &lt;input
              id="termoBusca"
              class="search-input"
              type="text"
              placeholder="Busque por produto... Ex: mirra + roll on"
              autocomplete="off"
              oninput="agendarBusca()"
            /&gt;
          &lt;/div&gt;
          &lt;button id="searchBtn" class="search-btn" type="submit"&gt;
            Buscar
          &lt;/button&gt;
        &lt;/form&gt;
        &lt;div class="quick-searches"&gt;
          &lt;button class="chip" type="button" onclick="buscarSugestao('mirra')"&gt;mirra&lt;/button&gt;
          &lt;button class="chip" type="button" onclick="buscarSugestao('roll on')"&gt;roll on&lt;/button&gt;
          &lt;button class="chip" type="button" onclick="buscarSugestao('lavanda')"&gt;lavanda&lt;/button&gt;
          &lt;button class="chip" type="button" onclick="buscarSugestao('patchouli')"&gt;patchouli&lt;/button&gt;
          &lt;button class="chip" type="button" onclick="buscarSugestao('alecrim')"&gt;alecrim&lt;/button&gt;
        &lt;/div&gt;
      &lt;/div&gt;
      &lt;div class="content"&gt;
        &lt;div class="meta"&gt;
          &lt;div class="meta-left"&gt;
            &lt;div id="statusText" class="status-text"&gt;Digite um termo para iniciar a busca.&lt;/div&gt;
            &lt;div id="resultsCount" class="results-count"&gt;&lt;/div&gt;
          &lt;/div&gt;
        &lt;/div&gt;
        &lt;div id="resultado"&gt;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Você também pode combinar termos usando o sinal &lt;strong&gt;+&lt;/strong&gt;.
            &lt;/p&gt;
            &lt;div class="empty-note"&gt;Exemplo: &lt;strong&gt;mirra + roll on&lt;/strong&gt;&lt;/div&gt;
          &lt;/div&gt;
        &lt;/div&gt;
        &lt;div class="footer-note"&gt;
          Sistema de consulta rápida do inventário.
        &lt;/div&gt;
      &lt;/div&gt;
    &lt;/section&gt;
  &lt;/main&gt;
  &lt;script&gt;
    let debounceTimer = null;
    let buscando = false;
    function agendarBusca() {
      clearTimeout(debounceTimer);
      debounceTimer = setTimeout(() =&gt; {
        const termo = document.getElementById("termoBusca").value.trim();
        if (!termo) {
          mostrarEstadoInicial();
          return;
        }
        buscar();
      }, 350);
    }
    function buscarSugestao(valor) {
      const input = document.getElementById("termoBusca");
      input.value = valor;
      input.focus();
      buscar();
    }
    function buscar(event) {
      if (event) event.preventDefault();
      const termo = document.getElementById("termoBusca").value.trim();
      if (!termo) {
        mostrarEstadoInicial();
        return;
      }
      if (buscando) return;
      buscando = true;
      atualizarBotao(true);
      mostrarLoading();
      atualizarStatus("Buscando no inventário...");
      google.script.run
        .withSuccessHandler(function(resultados) {
          buscando = false;
          atualizarBotao(false);
          renderizarResultados(Array.isArray(resultados) ? resultados : [], termo);
        })
        .withFailureHandler(function(erro) {
          buscando = false;
          atualizarBotao(false);
          mostrarErro(erro);
        })
        .buscarProdutosWeb(termo);
    }
    function atualizarBotao(carregando) {
      const btn = document.getElementById("searchBtn");
      btn.disabled = carregando;
      btn.textContent = carregando ? "Buscando..." : "Buscar";
    }
    function mostrarLoading() {
      document.getElementById("resultsCount").classList.remove("show");
      document.getElementById("resultado").innerHTML = `
        &lt;div class="loading-row"&gt;
          &lt;span class="spinner"&gt;&lt;/span&gt;
          Consultando produtos disponíveis...
        &lt;/div&gt;
      `;
    }
    function mostrarEstadoInicial() {
      atualizarStatus("Digite um termo para iniciar a busca.");
      document.getElementById("resultsCount").classList.remove("show");
      document.getElementById("resultado").innerHTML = `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Você também pode combinar termos usando o sinal &lt;strong&gt;+&lt;/strong&gt;.
          &lt;/p&gt;
          &lt;div class="empty-note"&gt;Exemplo: &lt;strong&gt;mirra + roll on&lt;/strong&gt;&lt;/div&gt;
        &lt;/div&gt;
      `;
    }
    function renderizarResultados(resultados, termo) {
      const resultsCount = document.getElementById("resultsCount");
      if (!resultados.length) {
        atualizarStatus(`Nenhum resultado encontrado para "${termo}".`);
        resultsCount.classList.remove("show");
        document.getElementById("resultado").innerHTML = `
          &lt;div class="state"&gt;
            &lt;div class="state-icon"&gt;
              &lt;svg width="28" height="28" viewBox="0 0 24 24" fill="none" aria-hidden="true"&gt;
                &lt;path d="M10.5 18C14.6421 18 18 14.6421 18 10.5C18 6.35786 14.6421 3 10.5 3C6.35786 3 3 6.35786 3 10.5C3 14.6421 6.35786 18 10.5 18Z"
                      stroke="currentColor" stroke-width="1.8" stroke-linecap="round" stroke-linejoin="round"/&gt;
                &lt;path d="M21 21L15.8 15.8"
                      stroke="currentColor" stroke-width="1.8" stroke-linecap="round" stroke-linejoin="round"/&gt;
              &lt;/svg&gt;
            &lt;/div&gt;
            &lt;div class="state-title"&gt;Nenhum produto encontrado&lt;/div&gt;
            &lt;p class="state-desc"&gt;
              Tente buscar com menos palavras, use termos mais amplos ou combine palavras com &lt;strong&gt;+&lt;/strong&gt;.
            &lt;/p&gt;
            &lt;div class="empty-note"&gt;Exemplo: &lt;strong&gt;lavanda&lt;/strong&gt; ou &lt;strong&gt;mirra + roll on&lt;/strong&gt;&lt;/div&gt;
          &lt;/div&gt;
        `;
        return;
      }
      atualizarStatus(`Busca concluída para "${termo}".`);
      resultsCount.textContent = `${resultados.length} resultado${resultados.length &gt; 1 ? "s" : ""}`;
      resultsCount.classList.add("show");
      const cards = resultados.map(item =&gt; `
        &lt;article class="result-card"&gt;
          &lt;div class="result-top"&gt;
            &lt;div&gt;
              &lt;div class="result-label"&gt;Produto encontrado&lt;/div&gt;
              &lt;div class="result-name"&gt;${escapeHtml(item.produto || "Produto sem nome")}&lt;/div&gt;
            &lt;/div&gt;
            &lt;div class="badge"&gt;Caixa ${escapeHtml(item.caixa || "-")}&lt;/div&gt;
          &lt;/div&gt;
          &lt;div class="result-bottom"&gt;
            &lt;div class="result-meta"&gt;
              &lt;strong&gt;Localização:&lt;/strong&gt; ${escapeHtml(item.caixa || "-")}
            &lt;/div&gt;
            &lt;div class="result-meta"&gt;
              Disponível no inventário
            &lt;/div&gt;
          &lt;/div&gt;
        &lt;/article&gt;
      `).join("");
      document.getElementById("resultado").innerHTML = `
        &lt;div class="results-grid"&gt;
          ${cards}
        &lt;/div&gt;
      `;
    }
    function mostrarErro(erro) {
      atualizarStatus("Ocorreu um erro ao consultar o inventário.");
      document.getElementById("resultsCount").classList.remove("show");
      const mensagem = erro &amp;&amp; erro.message ? erro.message : "Não foi possível concluir a busca.";
      document.getElementById("resultado").innerHTML = `
        &lt;div class="state"&gt;
          &lt;div class="state-icon"&gt;
            &lt;svg width="28" height="28" viewBox="0 0 24 24" fill="none" aria-hidden="true"&gt;
              &lt;path d="M12 9V13M12 17H12.01M10.29 3.86L1.82 18C1.64539 18.3024 1.55372 18.6456 1.55402 18.995C1.55433 19.3444 1.6466 19.6875 1.82174 19.9896C1.99688 20.2917 2.24867 20.5423 2.55155 20.7161C2.85443 20.8899 3.1979 20.9808 3.547 20.98H20.453C20.8021 20.9808 21.1456 20.8899 21.4485 20.7161C21.7513 20.5423 22.0031 20.2917 22.1783 19.9896C22.3534 19.6875 22.4457 19.3444 22.446 18.995C22.4463 18.6456 22.3546 18.3024 22.18 18L13.71 3.86C13.5342 3.56611 13.2857 3.32291 12.9886 3.15342C12.6915 2.98392 12.3557 2.8938 12.0135 2.8916C11.6714 2.88939 11.3344 2.97519 11.0351 3.14084C10.7359 3.30649 10.4843 3.54647 10.305 3.838L10.29 3.86Z"
                    stroke="currentColor" stroke-width="1.7" stroke-linecap="round" stroke-linejoin="round"/&gt;
            &lt;/svg&gt;
          &lt;/div&gt;
          &lt;div class="state-title"&gt;Erro na consulta&lt;/div&gt;
          &lt;p class="state-desc"&gt;${escapeHtml(mensagem)}&lt;/p&gt;
        &lt;/div&gt;
      `;
    }
    function atualizarStatus(texto) {
      document.getElementById("statusText").textContent = texto;
    }
    function escapeHtml(text) {
      return String(text)
        .replace(/&amp;/g, "&amp;amp;")
        .replace(/&lt;/g, "&amp;lt;")
        .replace(/&gt;/g, "&amp;gt;")
        .replace(/"/g, "&amp;quot;")
        .replace(/'/g, "&amp;#039;");
    }
  &lt;/script&gt;
&lt;/body&gt;
&lt;/html&gt;</t>
  </si>
  <si>
    <t>Bom</t>
  </si>
  <si>
    <t xml:space="preserve">&lt;!DOCTYPE html&gt;
&lt;html lang="pt-BR"&gt;
&lt;head&gt;
  &lt;meta charset="UTF-8"&gt;
  &lt;base target="_top"&gt;
  &lt;style&gt;
    *, *::before, *::after {
      box-sizing: border-box;
      margin: 0;
      padding: 0;
    }
    body {
      background: #f4f6f8;
      font-family: -apple-system, BlinkMacSystemFont, "Segoe UI", Roboto, Arial, sans-serif;
      color: #333;
      min-height: 100vh;
      display: flex;
      justify-content: center;
      align-items: flex-start;
      padding: 60px 16px 40px;
    }
    .container {
      width: 100%;
      max-width: 680px;
    }
    /* Header */
    .header {
      display: flex;
      align-items: center;
      gap: 12px;
      margin-bottom: 28px;
    }
    .header-icon {
      width: 40px;
      height: 40px;
      background: #2e7d32;
      border-radius: 10px;
      display: flex;
      align-items: center;
      justify-content: center;
      flex-shrink: 0;
    }
    .header-icon svg {
      width: 20px;
      height: 20px;
      fill: none;
      stroke: #fff;
      stroke-width: 2;
      stroke-linecap: round;
      stroke-linejoin: round;
    }
    .title {
      font-size: 22px;
      font-weight: 700;
      color: #1b5e20;
    }
    .subtitle {
      font-size: 13px;
      color: #888;
      margin-top: 2px;
    }
    /* Search */
    .search-wrapper {
      position: relative;
      margin-bottom: 24px;
    }
    .search-icon {
      position: absolute;
      left: 16px;
      top: 50%;
      transform: translateY(-50%);
      width: 18px;
      height: 18px;
      pointer-events: none;
      color: #aaa;
    }
    .search-box {
      width: 100%;
      padding: 16px 48px 16px 46px;
      font-size: 16px;
      border-radius: 12px;
      border: 1.5px solid #e0e0e0;
      outline: none;
      transition: border-color 0.2s, box-shadow 0.2s, background 0.2s;
      background: #fff;
      color: #333;
    }
    .search-box::placeholder {
      color: #bbb;
    }
    .search-box:focus {
      border-color: #2e7d32;
      box-shadow: 0 0 0 3px rgba(46,125,50,0.12);
    }
    .clear-btn {
      position: absolute;
      right: 14px;
      top: 50%;
      transform: translateY(-50%);
      background: none;
      border: none;
      cursor: pointer;
      color: #bbb;
      padding: 4px;
      border-radius: 50%;
      display: none;
      align-items: center;
      justify-content: center;
      transition: color 0.15s, background 0.15s;
    }
    .clear-btn:hover {
      color: #666;
      background: #f0f0f0;
    }
    .clear-btn.visible {
      display: flex;
    }
    /* Status bar */
    .status-bar {
      display: flex;
      align-items: center;
      justify-content: space-between;
      margin-bottom: 12px;
      min-height: 22px;
    }
    .result-count {
      font-size: 13px;
      color: #888;
    }
    .result-count strong {
      color: #2e7d32;
    }
    /* Loading */
    .loading {
      display: none;
      align-items: center;
      gap: 8px;
      font-size: 13px;
      color: #888;
    }
    .loading.visible {
      display: flex;
    }
    .spinner {
      width: 14px;
      height: 14px;
      border: 2px solid #e0e0e0;
      border-top-color: #2e7d32;
      border-radius: 50%;
      animation: spin 0.7s linear infinite;
    }
    @keyframes spin {
      to { transform: rotate(360deg); }
    }
    /* Results */
    .results {
      display: flex;
      flex-direction: column;
      gap: 10px;
    }
    .item {
      padding: 14px 18px;
      border-radius: 10px;
      background: #fff;
      border: 1.5px solid #e8e8e8;
      transition: border-color 0.15s, box-shadow 0.15s, transform 0.15s;
      display: flex;
      align-items: center;
      gap: 14px;
    }
    .item:hover {
      border-color: #a5d6a7;
      box-shadow: 0 2px 8px rgba(46,125,50,0.08);
      transform: translateY(-1px);
    }
    .item-dot {
      width: 8px;
      height: 8px;
      border-radius: 50%;
      background: #4caf50;
      flex-shrink: 0;
    }
    .item-info {
      flex: 1;
      min-width: 0;
    }
    .produto {
      font-size: 15px;
      font-weight: 500;
      color: #1b5e20;
      white-space: nowrap;
      overflow: hidden;
      text-overflow: ellipsis;
    }
    .caixa-badge {
      display: inline-block;
      background: #e8f5e9;
      color: #2e7d32;
      border-radius: 5px;
      padding: 2px 8px;
      font-size: 11px;
      font-weight: 500;
      margin-top: 4px;
    }
    /* Empty */
    .empty {
      padding: 40px 20px;
      text-align: center;
      color: #aaa;
      border: 1.5px dashed #e0e0e0;
      border-radius: 12px;
      background: #fafafa;
    }
    .empty-icon {
      font-size: 32px;
      margin-bottom: 10px;
    }
    .empty p {
      font-size: 14px;
    }
    /* Error */
    .error {
      padding: 14px 18px;
      background: #fff3f3;
      border: 1.5px solid #ffcdd2;
      border-radius: 10px;
      color: #c62828;
      font-size: 14px;
      display: flex;
      align-items: center;
      gap: 10px;
    }
    /* Hint */
    .hint {
      padding: 40px 20px;
      text-align: center;
      color: #bbb;
      font-size: 14px;
    }
    .hint-icon {
      font-size: 28px;
      margin-bottom: 10px;
    }
    .tag {
      display: inline-block;
      background: #f1f8f1;
      border: 1px solid #c8e6c9;
      border-radius: 5px;
      padding: 2px 8px;
      font-size: 12px;
      color: #2e7d32;
      margin: 2px;
    }
  &lt;/style&gt;
&lt;/head&gt;
&lt;body&gt;
  &lt;div class="container"&gt;
    &lt;div class="header"&gt;
      &lt;div class="header-icon"&gt;
        &lt;svg viewBox="0 0 24 24"&gt;&lt;path d="M3 9l9-7 9 7v11a2 2 0 0 1-2 2H5a2 2 0 0 1-2-2z"/&gt;&lt;polyline points="9 22 9 12 15 12 15 22"/&gt;&lt;/svg&gt;
      &lt;/div&gt;
      &lt;div&gt;
        &lt;div class="title"&gt;Busca de Inventário&lt;/div&gt;
        &lt;div class="subtitle"&gt;Use &lt;span class="tag"&gt;+&lt;/span&gt; para combinar termos&lt;/div&gt;
      &lt;/div&gt;
    &lt;/div&gt;
    &lt;div class="search-wrapper"&gt;
      &lt;svg class="search-icon" viewBox="0 0 24 24" fill="none" stroke="currentColor" stroke-width="2" stroke-linecap="round" stroke-linejoin="round"&gt;
        &lt;circle cx="11" cy="11" r="8"/&gt;&lt;line x1="21" y1="21" x2="16.65" y2="16.65"/&gt;
      &lt;/svg&gt;
      &lt;input
        id="search"
        class="search-box"
        type="text"
        placeholder="Ex: mirra + roll on"
        autocomplete="off"
        spellcheck="false"
      &gt;
      &lt;button class="clear-btn" id="clearBtn" title="Limpar busca" aria-label="Limpar"&gt;
        &lt;svg width="14" height="14" viewBox="0 0 24 24" fill="none" stroke="currentColor" stroke-width="2.5" stroke-linecap="round"&gt;
          &lt;line x1="18" y1="6" x2="6" y2="18"/&gt;&lt;line x1="6" y1="6" x2="18" y2="18"/&gt;
        &lt;/svg&gt;
      &lt;/button&gt;
    &lt;/div&gt;
    &lt;div class="status-bar"&gt;
      &lt;div class="result-count" id="resultCount"&gt;&lt;/div&gt;
      &lt;div class="loading" id="loading"&gt;
        &lt;div class="spinner"&gt;&lt;/div&gt;
        Buscando…
      &lt;/div&gt;
    &lt;/div&gt;
    &lt;div id="results"&gt;&lt;/div&gt;
  &lt;/div&gt;
  &lt;script&gt;
    let timeout = null;
    const searchInput = document.getElementById("search");
    const clearBtn    = document.getElementById("clearBtn");
    const resultsEl   = document.getElementById("results");
    const loadingEl   = document.getElementById("loading");
    const countEl     = document.getElementById("resultCount");
    searchInput.addEventListener("input", onInput);
    clearBtn.addEventListener("click", clearSearch);
    function onInput() {
      const termo = searchInput.value;
      clearBtn.classList.toggle("visible", termo.length &gt; 0);
      clearTimeout(timeout);
      if (!termo.trim()) {
        showHint();
        return;
      }
      timeout = setTimeout(() =&gt; buscar(termo), 300);
    }
    function clearSearch() {
      searchInput.value = "";
      clearBtn.classList.remove("visible");
      showHint();
      searchInput.focus();
    }
    function buscar(termo) {
      setLoading(true);
      countEl.textContent = "";
      google.script.run
        .withSuccessHandler(render)
        .withFailureHandler(onError)
        .buscarProdutosWeb(termo);
    }
    function render(data) {
      setLoading(false);
      resultsEl.innerHTML = "";
      if (!data || data.length === 0) {
        countEl.textContent = "";
        const empty = document.createElement("div");
        empty.className = "empty";
        empty.innerHTML = '&lt;div class="empty-icon"&gt;🔍&lt;/div&gt;&lt;p&gt;Nenhum produto encontrado&lt;/p&gt;';
        resultsEl.appendChild(empty);
        return;
      }
      countEl.innerHTML = `&lt;strong&gt;${data.length}&lt;/strong&gt; produto${data.length !== 1 ? "s" : ""} encontrado${data.length !== 1 ? "s" : ""}`;
      const fragment = document.createDocumentFragment();
      data.forEach(item =&gt; {
        const div = document.createElement("div");
        div.className = "item";
        const dot = document.createElement("div");
        dot.className = "item-dot";
        const info = document.createElement("div");
        info.className = "item-info";
        const nome = document.createElement("div");
        nome.className = "produto";
        nome.textContent = item.produto;
        const badge = document.createElement("span");
        badge.className = "caixa-badge";
        badge.textContent = item.caixa;
        info.appendChild(nome);
        info.appendChild(badge);
        div.appendChild(dot);
        div.appendChild(info);
        fragment.appendChild(div);
      });
      resultsEl.appendChild(fragment);
    }
    function onError(err) {
      setLoading(false);
      countEl.textContent = "";
      resultsEl.innerHTML = "";
      const errDiv = document.createElement("div");
      errDiv.className = "error";
      errDiv.textContent = "⚠️ Erro ao buscar. Verifique sua conexão e tente novamente.";
      resultsEl.appendChild(errDiv);
    }
    function setLoading(on) {
      loadingEl.classList.toggle("visible", on);
    }
    function showHint() {
      countEl.textContent = "";
      resultsEl.innerHTML = "";
      const hint = document.createElement("div");
      hint.className = "hint";
      hint.innerHTML = '&lt;div class="hint-icon"&gt;📦&lt;/div&gt;&lt;p&gt;Digite um produto para buscar no inventário&lt;/p&gt;';
      resultsEl.appendChild(hint);
    }
    // Estado inicial
    showHint();
  &lt;/script&gt;
&lt;/body&gt;
&lt;/html&gt;
</t>
  </si>
  <si>
    <t>Segue alguns ajustes que precisam ser feitos, primeiro a página principal (home) está com fundo escuro, quero com fundo branco mantendo a opção de colocar no modo escuro. A imagem de fundo precisa ter um aspecto 3D, tipo de profundidade, como se fosse um caminho infinito no horizonte. Os elementos do lado direito como por exemplo (SYS ONLINE MOD 02/06 VER
3.1 08:01 SISTEMA ONLINE CPU OK NET STABLE DB SYNC) quero subistituir por uma imagem de uma lupa 3D girando em 360 graus em torno do seu eixo, igual o planeta Terra faz. Sobre o relatório por email, também quero adicionar essa opção na aba Inventário, levando em consideração todos os que estão indisponíveis ou inativos na planiha, que pela lógica são aqueles que não aparecem na busca do Dashboard. Ainda no relatório por email, quero adicionar a opção de escolher para qual e-mail enviar, pois as vezes quero enviar para outro e-mail. Outro ajuste é que não encontrei a opção dentro da aba Inventário que torna o item ou os itens que foram buscados inativos ou indisponíveis, tem ser algo simples como um clique, mais ao mesmo tempo precisa refletir na planilha ao qual está vinculado. O modo para celular ficou bom, mas pode ser melhorado, trazendo mais praticidade, tanto no visual quanto no funcional.</t>
  </si>
  <si>
    <t>function doGet() {
  return HtmlService.createTemplateFromFile('index')
    .evaluate()
    .setXFrameOptionsMode(HtmlService.XFrameOptionsMode.ALLOWALL)
    .setTitle('Sistema Essência');
}
function include(filename) {
  return HtmlService.createHtmlOutputFromFile(filename).getContent();
}
function buscarProdutosWeb(termoBusca) {
  const ss = SpreadsheetApp.getActiveSpreadsheet();
  const sheet = ss.getSheetByName("Inventário");
  const dados = sheet.getDataRange().getValues();
  const HEADER_ROW = 0;
  const START_ROW = 1;
  // separa por "+"
  const palavras = termoBusca
    .toLowerCase()
    .split("+")
    .map(p =&gt; p.trim())
    .filter(p =&gt; p);
  const resultados = [];
  for (let i = START_ROW; i &lt; dados.length; i++) {
    for (let j = 2; j &lt; dados[0].length; j += 2) {
      const produto = dados[i][j];
      const qtd = dados[i][j + 1];
      const caixa = dados[HEADER_ROW][j];
      if (!produto || !qtd || qtd &lt;= 0) continue;
      const nome = produto.toString().toLowerCase();
      const match = palavras.every(p =&gt; nome.includes(p));
      if (match) {
        resultados.push({
          produto: produto,
          caixa: caixa
        });
      }
    }
  }
  return resultados;
}
function getValidadeData() {
  var ss = SpreadsheetApp.getActiveSpreadsheet();
  var sheet = ss.getSheetByName("Validade");
  if (!sheet) return [];
  var rows = sheet.getDataRange().getValues();
  var result = [];
  for (var i = 1; i &lt; rows.length; i++) {
    var r = rows[i];
    if (!r[1]) continue;
    result.push({
      codigoBarras:    String(r[0] || ""),
      produto:         String(r[1] || ""),
      dataProducao:    String(r[2] || ""),
      etiqueta:        String(r[3] || ""),
      lote:            String(r[4] || ""),
      validade:        String(r[5] || ""),
      diasRestantes:   Number(r[6]) || 0,
      status:          String(r[7] || ""),
      precisaProduzir: String(r[8] || ""),
      estoque:         String(r[9] || ""),
      observacao:      String(r[10] || "")
    });
  }
  return result;
}</t>
  </si>
  <si>
    <t>&lt;!DOCTYPE html&gt;
&lt;html lang="pt-BR" data-theme="light" data-density="normal"&gt;
&lt;head&gt;
  &lt;meta charset="UTF-8"&gt;
  &lt;meta name="viewport" content="width=device-width, initial-scale=1.0"&gt;
  &lt;base target="_top"&gt;
  &lt;title&gt;Sistema Essência&lt;/title&gt;
  &lt;?!= include('estilos') ?&gt;
&lt;/head&gt;
&lt;body&gt;
&lt;!-- Orbs animados --&gt;
&lt;div class="orbs" aria-hidden="true"&gt;
  &lt;div class="orb orb-1"&gt;&lt;/div&gt;
  &lt;div class="orb orb-2"&gt;&lt;/div&gt;
  &lt;div class="orb orb-3"&gt;&lt;/div&gt;
&lt;/div&gt;
&lt;?!= include('sidebar') ?&gt;
&lt;!-- Main wrapper --&gt;
&lt;div class="main-wrapper"&gt;
  &lt;header class="main-header"&gt;
    &lt;div class="mh-left"&gt;
      &lt;button class="hamburger-btn" id="hamburgerBtn" aria-label="Menu"&gt;
        &lt;svg viewBox="0 0 24 24"&gt;&lt;line x1="3" y1="6" x2="21" y2="6"/&gt;&lt;line x1="3" y1="12" x2="21" y2="12"/&gt;&lt;line x1="3" y1="18" x2="21" y2="18"/&gt;&lt;/svg&gt;
      &lt;/button&gt;
      &lt;div class="mh-breadcrumb"&gt;
        &lt;span&gt;Sistema&lt;/span&gt;
        &lt;span class="mh-bread-sep"&gt;&lt;svg viewBox="0 0 24 24"&gt;&lt;polyline points="9 18 15 12 9 6"/&gt;&lt;/svg&gt;&lt;/span&gt;
        &lt;span class="mh-bread-current" id="breadcrumbCurrent"&gt;Inventário&lt;/span&gt;
      &lt;/div&gt;
      &lt;span class="mh-greeting" id="headerGreeting"&gt;&lt;/span&gt;
    &lt;/div&gt;
    &lt;div class="mh-right"&gt;
      &lt;span class="session-stats" id="sessionStats"&gt;&lt;/span&gt;
      &lt;button class="icon-btn" id="hcBtn" title="Alto contraste" aria-label="Alto contraste"&gt;
        &lt;svg viewBox="0 0 24 24"&gt;&lt;circle cx="12" cy="12" r="9"/&gt;&lt;path d="M12 3v18" stroke-dasharray="3 2"/&gt;&lt;/svg&gt;
      &lt;/button&gt;
      &lt;button class="icon-btn" id="shortcutsHeaderBtn" title="Atalhos (?)" aria-label="Atalhos"&gt;
        &lt;svg viewBox="0 0 24 24"&gt;&lt;circle cx="12" cy="12" r="9"/&gt;&lt;path d="M9.09 9a3 3 0 0 1 5.83 1c0 2-3 3-3 3"/&gt;&lt;line x1="12" y1="17" x2="12.01" y2="17"/&gt;&lt;/svg&gt;
      &lt;/button&gt;
    &lt;/div&gt;
  &lt;/header&gt;
  &lt;main id="main-content" class="main-content"&gt;
    &lt;?!= include('page-inventario') ?&gt;
    &lt;?!= include('page-validade') ?&gt;
  &lt;/main&gt;
&lt;/div&gt;
&lt;!-- Toast --&gt;
&lt;div class="toast-container" id="toastContainer" aria-live="polite"&gt;&lt;/div&gt;
&lt;!-- Confetti --&gt;
&lt;canvas id="confetti-canvas"&gt;&lt;/canvas&gt;
&lt;!-- Scroll to top --&gt;
&lt;button class="scroll-top" id="scrollTop" aria-label="Voltar ao topo"&gt;
  &lt;svg viewBox="0 0 24 24"&gt;&lt;polyline points="18 15 12 9 6 15"/&gt;&lt;/svg&gt;
&lt;/button&gt;
&lt;!-- Shortcuts overlay --&gt;
&lt;div class="overlay-backdrop" id="shortcutsOverlay" role="dialog" aria-modal="true"&gt;
  &lt;div class="overlay-modal"&gt;
    &lt;div class="overlay-title"&gt;
      Atalhos de teclado
      &lt;button class="overlay-close" id="overlayClose" aria-label="Fechar"&gt;
        &lt;svg viewBox="0 0 24 24" width="18" height="18" fill="none" stroke="currentColor" stroke-width="2" stroke-linecap="round"&gt;&lt;line x1="18" y1="6" x2="6" y2="18"/&gt;&lt;line x1="6" y1="6" x2="18" y2="18"/&gt;&lt;/svg&gt;
      &lt;/button&gt;
    &lt;/div&gt;
    &lt;div class="shortcut-row"&gt;&lt;span&gt;Ir para Inventário&lt;/span&gt;&lt;span class="shortcut-keys"&gt;&lt;span class="kbd"&gt;1&lt;/span&gt;&lt;/span&gt;&lt;/div&gt;
    &lt;div class="shortcut-row"&gt;&lt;span&gt;Ir para Validade&lt;/span&gt;&lt;span class="shortcut-keys"&gt;&lt;span class="kbd"&gt;2&lt;/span&gt;&lt;/span&gt;&lt;/div&gt;
    &lt;div class="shortcut-row"&gt;&lt;span&gt;Focar busca&lt;/span&gt;&lt;span class="shortcut-keys"&gt;&lt;span class="kbd"&gt;/&lt;/span&gt;&lt;/span&gt;&lt;/div&gt;
    &lt;div class="shortcut-row"&gt;&lt;span&gt;Aceitar sugestão&lt;/span&gt;&lt;span class="shortcut-keys"&gt;&lt;span class="kbd"&gt;Tab&lt;/span&gt;&lt;/span&gt;&lt;/div&gt;
    &lt;div class="shortcut-row"&gt;&lt;span&gt;Navegar resultados&lt;/span&gt;&lt;span class="shortcut-keys"&gt;&lt;span class="kbd"&gt;↑&lt;/span&gt;&lt;span class="kbd"&gt;↓&lt;/span&gt;&lt;/span&gt;&lt;/div&gt;
    &lt;div class="shortcut-row"&gt;&lt;span&gt;Copiar item focado&lt;/span&gt;&lt;span class="shortcut-keys"&gt;&lt;span class="kbd"&gt;Enter&lt;/span&gt;&lt;/span&gt;&lt;/div&gt;
    &lt;div class="shortcut-row"&gt;&lt;span&gt;Exportar CSV&lt;/span&gt;&lt;span class="shortcut-keys"&gt;&lt;span class="kbd"&gt;Ctrl&lt;/span&gt;&lt;span class="kbd"&gt;E&lt;/span&gt;&lt;/span&gt;&lt;/div&gt;
    &lt;div class="shortcut-row"&gt;&lt;span&gt;Alternar tema&lt;/span&gt;&lt;span class="shortcut-keys"&gt;&lt;span class="kbd"&gt;Ctrl&lt;/span&gt;&lt;span class="kbd"&gt;D&lt;/span&gt;&lt;/span&gt;&lt;/div&gt;
    &lt;div class="shortcut-row"&gt;&lt;span&gt;Fechar / limpar&lt;/span&gt;&lt;span class="shortcut-keys"&gt;&lt;span class="kbd"&gt;Esc&lt;/span&gt;&lt;/span&gt;&lt;/div&gt;
    &lt;div class="shortcut-row"&gt;&lt;span&gt;Abrir atalhos&lt;/span&gt;&lt;span class="shortcut-keys"&gt;&lt;span class="kbd"&gt;?&lt;/span&gt;&lt;/span&gt;&lt;/div&gt;
  &lt;/div&gt;
&lt;/div&gt;
&lt;?!= include('scripts') ?&gt;
&lt;/body&gt;
&lt;/html&gt;</t>
  </si>
  <si>
    <t>&lt;style&gt;
/* ═══════════════════════════════════════════════
   CSS TOKENS — light / dark
   ═══════════════════════════════════════════════ */
:root {
  --bg:                  #eef0f3;
  --surface:             rgba(255,255,255,0.88);
  --surface-solid:       #ffffff;
  --border:              rgba(0,0,0,0.08);
  --text-primary:        #1a1a1a;
  --text-secondary:      #555;
  --text-muted:          #aaa;
  --input-bg:            #f5f6f8;
  --input-border:        #e0e0e0;
  --input-focus-border:  #43a047;
  --input-focus-shadow:  rgba(67,160,71,0.14);
  --item-bg:             #f9fafb;
  --item-border:         #ebebeb;
  --item-hover-border:   #a5d6a7;
  --item-hover-shadow:   rgba(46,125,50,0.14);
  --chip-bg:             #f1f8f1;
  --chip-border:         #c8e6c9;
  --badge-bg:            #f1f8f1;
  --badge-color:         #388e3c;
  --mark-bg:             #fff59d;
  --mark-color:          inherit;
  --scrollbar-thumb:     #c8e6c9;
  --scrollbar-track:     transparent;
  --kbd-bg:              rgba(255,255,255,0.85);
  --kbd-border:          #d0d0d0;
  --toggle-bg:           #ededf0;
  --toggle-color:        #555;
  --divider:             #f0f0f0;
  --shadow-card:         0 2px 4px rgba(0,0,0,0.06),0 8px 28px rgba(0,0,0,0.10);
  --shadow-sidebar:      4px 0 24px rgba(0,0,0,0.08);
  --green-deep:          #1b5e20;
  --green-mid:           #2e7d32;
  --green-base:          #43a047;
  --green-light:         #66bb6a;
  --green-pale:          #a5d6a7;
  --danger:              #c62828;
  --danger-bg:           #ffebee;
  --warning:             #e65100;
  --warning-bg:          #fff3e0;
  --ok-bg:               #f1f8f1;
  --ok-color:            #2e7d32;
  --sidebar-width:       280px;
}
[data-theme="dark"] {
  --bg:                  #0d1117;
  --surface:             rgba(22,27,34,0.95);
  --surface-solid:       #161b22;
  --border:              rgba(255,255,255,0.08);
  --text-primary:        #e6edf3;
  --text-secondary:      #8b949e;
  --text-muted:          #484f58;
  --input-bg:            #161b22;
  --input-border:        #30363d;
  --input-focus-border:  #66bb6a;
  --input-focus-shadow:  rgba(102,187,106,0.18);
  --item-bg:             #161b22;
  --item-border:         #21262d;
  --item-hover-border:   #66bb6a;
  --item-hover-shadow:   rgba(102,187,106,0.16);
  --chip-bg:             #1a2e1c;
  --chip-border:         #2d4830;
  --badge-bg:            #1a2e1c;
  --badge-color:         #81c784;
  --mark-bg:             rgba(255,245,0,0.22);
  --mark-color:          #fff59d;
  --scrollbar-thumb:     #30363d;
  --scrollbar-track:     transparent;
  --kbd-bg:              rgba(255,255,255,0.07);
  --kbd-border:          #3a5a3c;
  --toggle-bg:           #21262d;
  --toggle-color:        #8b949e;
  --divider:             #21262d;
  --shadow-card:         0 2px 4px rgba(0,0,0,0.35),0 8px 28px rgba(0,0,0,0.45);
  --shadow-sidebar:      4px 0 24px rgba(0,0,0,0.35);
  --green-deep:          #1b5e20;
  --green-mid:           #2e7d32;
  --green-base:          #43a047;
  --green-light:         #66bb6a;
  --green-pale:          #388e3c;
  --danger:              #ef5350;
  --danger-bg:           #1c1010;
  --warning:             #ffa726;
  --warning-bg:          #1c1500;
  --ok-bg:               #1a2e1c;
  --ok-color:            #81c784;
}
html[data-hc="1"] { --text-primary:#000!important;--text-secondary:#111!important;--text-muted:#333!important;--item-border:#444!important;--border:#444!important; }
html[data-hc="1"][data-theme="dark"] { --text-primary:#fff!important;--text-secondary:#eee!important;--text-muted:#bbb!important;--item-border:#66bb6a!important; }
/* ═══════ RESET ═══════ */
*,*::before,*::after{box-sizing:border-box;margin:0;padding:0;}
::-webkit-scrollbar{width:6px;height:6px;}
::-webkit-scrollbar-track{background:var(--scrollbar-track);}
::-webkit-scrollbar-thumb{background:var(--scrollbar-thumb);border-radius:6px;}
::-webkit-scrollbar-thumb:hover{background:var(--green-pale);}
*{scrollbar-width:thin;scrollbar-color:var(--scrollbar-thumb) var(--scrollbar-track);}
body {
  background:var(--bg);
  font-family:-apple-system,BlinkMacSystemFont,"Segoe UI",Roboto,Arial,sans-serif;
  color:var(--text-primary);
  min-height:100vh;
  overflow-x:hidden;
  transition:background .3s,color .3s;
}
/* ═══════ ORBS ═══════ */
.orbs{position:fixed;inset:0;pointer-events:none;z-index:0;overflow:hidden;}
.orb{position:absolute;border-radius:50%;filter:blur(80px);opacity:.35;animation:orbFloat linear infinite;}
.orb-1{width:480px;height:480px;background:radial-gradient(circle,#43a047 0%,#1b5e20 60%,transparent 100%);top:-120px;left:-100px;animation-duration:18s;}
.orb-2{width:400px;height:400px;background:radial-gradient(circle,#1565c0 0%,#0d47a1 60%,transparent 100%);top:40%;right:-120px;animation-duration:22s;animation-delay:-7s;}
.orb-3{width:360px;height:360px;background:radial-gradient(circle,#c2185b 0%,#880e4f 60%,transparent 100%);bottom:-80px;left:30%;animation-duration:26s;animation-delay:-13s;}
@keyframes orbFloat{0%{transform:translate(0,0) scale(1);}25%{transform:translate(40px,-30px) scale(1.06);}50%{transform:translate(-20px,50px) scale(0.94);}75%{transform:translate(30px,20px) scale(1.03);}100%{transform:translate(0,0) scale(1);}}
/* ═══════ SIDEBAR ═══════ */
.sidebar {
  position:fixed;top:0;left:0;
  width:var(--sidebar-width);height:100vh;
  background:var(--surface);
  backdrop-filter:blur(18px);-webkit-backdrop-filter:blur(18px);
  border-right:1px solid var(--border);
  box-shadow:var(--shadow-sidebar);
  z-index:200;display:flex;flex-direction:column;
  transition:transform .28s cubic-bezier(.4,0,.2,1);
  overflow-y:auto;overflow-x:hidden;
}
.sb-header{padding:20px 20px 16px;border-bottom:1px solid var(--divider);flex-shrink:0;}
.sb-logo{display:flex;align-items:center;gap:12px;}
.sb-logo-icon{width:40px;height:40px;background:linear-gradient(135deg,#2e7d32,#43a047);border-radius:11px;display:flex;align-items:center;justify-content:center;box-shadow:0 3px 12px rgba(46,125,50,.4);flex-shrink:0;}
.sb-logo-icon svg{width:20px;height:20px;fill:none;stroke:#fff;stroke-width:1.8;stroke-linecap:round;stroke-linejoin:round;}
.sb-app-name{font-size:14px;font-weight:700;color:var(--text-primary);}
.sb-version{font-size:10px;color:var(--text-muted);margin-top:1px;}
.sb-section{padding:14px 12px 8px;}
.sb-section-title{font-size:10px;font-weight:700;letter-spacing:.8px;text-transform:uppercase;color:var(--text-muted);margin-bottom:6px;padding:0 8px;}
.sb-nav{display:flex;flex-direction:column;gap:2px;}
.sb-item{
  display:flex;align-items:center;gap:10px;
  padding:10px 14px;border-radius:10px;
  background:none;border:none;cursor:pointer;
  color:var(--text-secondary);font-size:13px;font-weight:500;
  width:100%;text-align:left;
  transition:background .15s,color .15s;
  border-left:3px solid transparent;
}
.sb-item:hover:not(:disabled){background:var(--item-bg);color:var(--text-primary);}
.sb-item.active{background:rgba(46,125,50,.10);color:var(--green-mid);font-weight:700;border-left-color:var(--green-base);}
[data-theme="dark"] .sb-item.active{background:rgba(67,160,71,.12);color:var(--green-light);}
.sb-item-icon{width:18px;height:18px;flex-shrink:0;display:flex;align-items:center;justify-content:center;}
.sb-item-icon svg{width:18px;height:18px;fill:none;stroke:currentColor;stroke-width:1.8;stroke-linecap:round;stroke-linejoin:round;}
.sb-item-label{flex:1;}
.sb-item--soon{opacity:.4;cursor:not-allowed;}
.sb-soon-badge{font-size:9px;font-weight:700;letter-spacing:.4px;text-transform:uppercase;background:var(--toggle-bg);color:var(--text-muted);border-radius:4px;padding:2px 5px;}
.sb-divider{height:1px;background:var(--divider);margin:4px 12px;}
.sb-tools{border-top:1px solid var(--divider);flex-shrink:0;padding:12px 12px 8px;}
.sb-tool-btn{display:flex;align-items:center;gap:10px;padding:9px 14px;border-radius:10px;background:none;border:none;cursor:pointer;color:var(--text-secondary);font-size:13px;width:100%;text-align:left;transition:background .15s,color .15s;}
.sb-tool-btn:hover{background:var(--item-bg);color:var(--text-primary);}
.sb-tool-btn svg{width:16px;height:16px;fill:none;stroke:currentColor;stroke-width:2;stroke-linecap:round;stroke-linejoin:round;flex-shrink:0;}
.sb-footer{margin-top:auto;padding:12px 20px;border-top:1px solid var(--divider);font-size:10px;color:var(--text-muted);flex-shrink:0;}
/* ═══════ SIDEBAR OVERLAY ═══════ */
.sidebar-overlay{position:fixed;inset:0;background:rgba(0,0,0,.45);z-index:199;opacity:0;pointer-events:none;transition:opacity .28s ease;}
.sidebar-overlay.open{opacity:1;pointer-events:auto;}
/* ═══════ MAIN WRAPPER ═══════ */
.main-wrapper{margin-left:var(--sidebar-width);min-height:100vh;display:flex;flex-direction:column;position:relative;z-index:1;}
/* ═══════ MAIN HEADER ═══════ */
.main-header{
  display:flex;align-items:center;justify-content:space-between;
  padding:13px 24px;gap:12px;
  background:var(--surface);
  backdrop-filter:blur(18px);-webkit-backdrop-filter:blur(18px);
  border-bottom:1px solid var(--border);
  position:sticky;top:0;z-index:100;flex-shrink:0;
}
.mh-left{display:flex;align-items:center;gap:10px;min-width:0;}
.mh-right{display:flex;align-items:center;gap:6px;flex-shrink:0;}
.hamburger-btn{display:none;background:var(--toggle-bg);border:none;cursor:pointer;color:var(--toggle-color);width:36px;height:36px;border-radius:10px;align-items:center;justify-content:center;flex-shrink:0;transition:background .2s,transform .2s;}
.hamburger-btn:hover{transform:scale(1.08);}
.hamburger-btn svg{width:18px;height:18px;fill:none;stroke:currentColor;stroke-width:2;stroke-linecap:round;}
.mh-breadcrumb{display:flex;align-items:center;gap:5px;font-size:13px;color:var(--text-muted);}
.mh-bread-sep svg{width:14px;height:14px;fill:none;stroke:currentColor;stroke-width:2;stroke-linecap:round;stroke-linejoin:round;opacity:.4;}
.mh-bread-current{font-weight:600;color:var(--text-primary);}
.mh-greeting{font-size:13px;color:var(--text-muted);padding-left:10px;border-left:1px solid var(--border);white-space:nowrap;}
.session-stats{display:none;align-items:center;background:var(--chip-bg);border:1px solid var(--chip-border);border-radius:20px;padding:3px 10px;font-size:11px;color:var(--text-muted);white-space:nowrap;}
.session-stats.visible{display:flex;}
.icon-btn{background:var(--toggle-bg);border:none;cursor:pointer;color:var(--toggle-color);width:36px;height:36px;border-radius:10px;display:flex;align-items:center;justify-content:center;flex-shrink:0;transition:background .2s,color .2s,transform .2s;position:relative;}
.icon-btn:hover{transform:scale(1.08);}
.icon-btn svg{width:17px;height:17px;fill:none;stroke:currentColor;stroke-width:2;stroke-linecap:round;stroke-linejoin:round;}
/* ═══════ MAIN CONTENT ═══════ */
.main-content{flex:1;padding:24px 24px 80px;}
/* ═══════ PÁGINAS — show/hide ═══════ */
.page{display:none;}
.page.active{display:block;animation:fadeIn 200ms ease both;}
@keyframes fadeIn{from{opacity:0;}to{opacity:1;}}
/* ═══════ CARD ═══════ */
.card{background:var(--surface);backdrop-filter:blur(18px);-webkit-backdrop-filter:blur(18px);border-radius:22px;border:1px solid var(--border);box-shadow:var(--shadow-card);overflow:hidden;transition:background .3s,border-color .3s;}
/* ═══════ INVENTÁRIO — HERO ═══════ */
.hero{height:72px;background:linear-gradient(105deg,#1b5e20 0%,#2e7d32 38%,#388e3c 68%,#43a047 100%);position:relative;overflow:hidden;}
.hero-pattern{position:absolute;inset:0;width:100%;height:100%;opacity:.15;}
.hero-content{position:absolute;inset:0;display:flex;align-items:center;padding:0 28px;gap:12px;}
.hero-icon{width:20px;height:20px;stroke:rgba(255,255,255,.88);fill:none;stroke-width:1.8;stroke-linecap:round;stroke-linejoin:round;flex-shrink:0;}
.hero-text{color:rgba(255,255,255,.92);flex:1;}
.hero-title{font-size:14px;font-weight:700;}
.hero-sub{font-size:11px;opacity:.72;margin-top:1px;}
.hero-sub strong{font-weight:700;}
.header-icon-wrap{position:relative;flex-shrink:0;}
.header-icon{width:40px;height:40px;background:rgba(255,255,255,.15);border:1px solid rgba(255,255,255,.25);border-radius:12px;display:flex;align-items:center;justify-content:center;}
.header-icon svg{width:20px;height:20px;fill:none;stroke:#fff;stroke-width:1.8;stroke-linecap:round;stroke-linejoin:round;}
.header-icon.spin-once{animation:spinOnce .5s ease;}
@keyframes spinOnce{from{transform:rotate(0deg);}to{transform:rotate(360deg);}}
.result-badge{position:absolute;top:-5px;right:-5px;min-width:18px;height:18px;border-radius:9px;padding:0 4px;background:var(--green-base);color:#fff;font-size:10px;font-weight:800;line-height:18px;text-align:center;opacity:0;transform:scale(0);transition:opacity .2s,transform .2s;pointer-events:none;}
.result-badge.visible{opacity:1;transform:scale(1);}
/* ═══════ INVENTÁRIO — SEARCH ═══════ */
.search-area{padding:22px 26px;border-bottom:1px solid var(--divider);}
.search-wrapper{position:relative;}
.search-icon{position:absolute;left:15px;top:50%;transform:translateY(-50%);width:18px;height:18px;pointer-events:none;color:var(--text-muted);}
.search-icon.pulsing{animation:pulseIcon .7s ease infinite;}
@keyframes pulseIcon{0%,100%{transform:translateY(-50%) scale(1);opacity:1;}50%{transform:translateY(-50%) scale(1.3);opacity:.5;}}
.search-box{width:100%;height:54px;padding:0 48px;font-size:16px;border-radius:14px;border:1.5px solid var(--input-border);outline:none;background:var(--input-bg);color:var(--text-primary);transition:border-color .22s,box-shadow .22s,background .22s;}
.search-box::placeholder{color:var(--text-muted);}
.search-box:focus{background:var(--surface-solid);border-color:var(--input-focus-border);box-shadow:0 0 0 4px var(--input-focus-shadow);}
.ghost-suggestion{position:absolute;left:48px;top:50%;transform:translateY(-50%);font-size:16px;pointer-events:none;color:var(--text-muted);opacity:.5;white-space:nowrap;overflow:hidden;}
.clear-btn{position:absolute;right:12px;top:50%;transform:translateY(-50%);background:var(--input-border);border:none;cursor:pointer;color:var(--text-muted);width:24px;height:24px;border-radius:50%;display:none;align-items:center;justify-content:center;transition:background .15s;}
.clear-btn:hover{background:var(--item-hover-border);color:#fff;}
.clear-btn.visible{display:flex;}
.ghost-hint{font-size:11px;color:var(--text-muted);padding:5px 4px 0;min-height:18px;}
.ghost-hint .ghost-tab{display:inline-block;background:var(--toggle-bg);border-radius:4px;padding:0 5px;font-size:10px;font-weight:700;margin-right:3px;}
.term-pills-wrap{overflow:hidden;max-height:0;opacity:0;transition:max-height .25s ease,opacity .25s ease;margin-top:0;}
.term-pills-wrap.open{max-height:80px;opacity:1;margin-top:10px;}
.term-pills-inner{display:flex;flex-wrap:wrap;gap:6px;align-items:center;}
.term-pill{display:inline-flex;align-items:center;gap:5px;padding:3px 8px 3px 10px;border-radius:12px;font-size:11px;font-weight:600;background:rgba(21,101,192,.12);color:#1565c0;border:1px solid rgba(21,101,192,.25);}
[data-theme="dark"] .term-pill{background:rgba(100,149,237,.15);color:#90caf9;border-color:rgba(100,149,237,.3);}
.term-pill-x{background:none;border:none;cursor:pointer;color:inherit;opacity:.6;display:flex;align-items:center;padding:0;}
.term-pill-x:hover{opacity:1;}
.recents-wrap{margin-top:14px;}
.recents-header{display:flex;align-items:center;justify-content:space-between;margin-bottom:8px;}
.recents-label{font-size:10px;font-weight:700;letter-spacing:.8px;text-transform:uppercase;color:var(--text-muted);}
.recents{display:flex;flex-wrap:wrap;gap:6px;}
.chip{display:inline-flex;align-items:center;gap:5px;background:var(--chip-bg);border:1px solid var(--chip-border);border-radius:20px;padding:4px 6px 4px 9px;font-size:11.5px;color:var(--green-mid);cursor:pointer;transition:background .15s,border-color .15s;}
.chip:hover{background:var(--item-bg);border-color:var(--item-hover-border);}
.chip-text{max-width:150px;overflow:hidden;text-overflow:ellipsis;white-space:nowrap;}
.chip-remove{background:none;border:none;cursor:pointer;color:var(--chip-border);padding:0;display:flex;align-items:center;justify-content:center;border-radius:50%;width:16px;height:16px;transition:color .15s;flex-shrink:0;}
.chip-remove:hover{color:var(--green-mid);}
.clear-all-btn{background:none;border:none;cursor:pointer;font-size:10px;color:var(--text-muted);padding:2px 7px;border-radius:5px;transition:color .15s;}
.clear-all-btn:hover{color:var(--green-mid);}
/* ═══════ INVENTÁRIO — RESULTS ═══════ */
.results-area{padding:0 26px 26px;}
.toolbar{display:flex;align-items:center;justify-content:space-between;overflow:hidden;max-height:0;opacity:0;margin-bottom:0;transition:max-height .22s,opacity .22s,margin-bottom .22s;flex-wrap:wrap;gap:6px;}
.toolbar.visible{max-height:60px;opacity:1;margin-bottom:14px;margin-top:18px;}
.toolbar-left{display:flex;align-items:center;gap:10px;flex-wrap:wrap;}
.toolbar-right{display:flex;align-items:center;gap:5px;flex-wrap:wrap;}
.result-count{font-size:12px;color:var(--text-muted);}
.result-count strong{color:var(--green-light);font-weight:600;}
.cache-badge{display:inline-flex;align-items:center;background:rgba(102,187,106,.18);color:var(--green-light);border-radius:4px;padding:1px 5px;font-size:10px;font-weight:700;margin-left:4px;}
.resp-time{font-size:10.5px;color:var(--text-muted);}
.loading{display:none;align-items:center;gap:7px;font-size:12px;color:var(--text-muted);}
.loading.visible{display:flex;}
.spinner{width:12px;height:12px;border:2px solid var(--input-border);border-top-color:var(--green-light);border-radius:50%;animation:spin .65s linear infinite;flex-shrink:0;}
@keyframes spin{to{transform:rotate(360deg);}}
.view-toggles{display:flex;gap:3px;}
.view-btn{background:var(--toggle-bg);border:none;cursor:pointer;color:var(--text-muted);width:30px;height:30px;border-radius:8px;display:flex;align-items:center;justify-content:center;transition:background .15s,color .15s;}
.view-btn svg{width:14px;height:14px;fill:none;stroke:currentColor;stroke-width:2;stroke-linecap:round;stroke-linejoin:round;}
.view-btn.active{background:var(--green-mid);color:#fff;}
.small-btn{display:flex;align-items:center;gap:4px;background:var(--toggle-bg);border:none;cursor:pointer;color:var(--text-muted);font-size:11px;font-weight:500;padding:0 9px;height:30px;border-radius:8px;white-space:nowrap;transition:background .15s,color .15s;}
.small-btn svg{width:12px;height:12px;stroke:currentColor;fill:none;stroke-width:2;stroke-linecap:round;stroke-linejoin:round;}
.small-btn:hover{background:var(--chip-bg);color:var(--green-mid);}
.toolbar-sort{padding:4px 8px;border-radius:8px;border:1px solid var(--input-border);background:var(--input-bg);color:var(--text-secondary);font-size:11px;outline:none;cursor:pointer;height:30px;transition:border-color .2s;}
.toolbar-sort:focus{border-color:var(--input-focus-border);}
/* ═══════ SKELETON ═══════ */
.skeleton-list{display:grid;gap:8px;}
.skeleton-item{padding:13px 16px;border-radius:13px;background:var(--item-bg);border:1.5px solid var(--item-border);display:flex;align-items:center;gap:12px;}
.skel-icon{width:38px;height:38px;border-radius:10px;background:var(--divider);flex-shrink:0;overflow:hidden;}
.skel-body{flex:1;display:flex;flex-direction:column;gap:7px;}
.skel-line{height:12px;border-radius:6px;background:var(--divider);overflow:hidden;}
.skel-line.short{width:40%;}
.shimmer{position:relative;overflow:hidden;}
.shimmer::after{content:'';position:absolute;inset:0;background:linear-gradient(90deg,transparent 0%,rgba(255,255,255,.4) 50%,transparent 100%);animation:shimmer 1.4s ease infinite;}
[data-theme="dark"] .shimmer::after{background:linear-gradient(90deg,transparent 0%,rgba(255,255,255,.08) 50%,transparent 100%);}
@keyframes shimmer{from{transform:translateX(-100%);}to{transform:translateX(100%);}}
/* ═══════ ITEMS ═══════ */
.items-list{display:grid;gap:8px;}
.items-list.view-list{grid-template-columns:1fr;}
.items-list.view-grid{grid-template-columns:repeat(auto-fill,minmax(270px,1fr));}
.item{padding:13px 16px;border-radius:13px;background:var(--item-bg);border:1.5px solid var(--item-border);display:flex;align-items:center;gap:12px;min-width:0;cursor:pointer;position:relative;overflow:hidden;transition:border-color .17s,box-shadow .17s,transform .17s,background .3s;animation:slideIn .26s ease both;}
.item::after{content:'';position:absolute;inset:0;background:linear-gradient(135deg,rgba(67,160,71,0) 0%,rgba(67,160,71,.07) 100%);opacity:0;transition:opacity .17s;pointer-events:none;}
.item:hover::after{opacity:1;}
.item:hover{border-color:var(--item-hover-border);box-shadow:0 6px 22px var(--item-hover-shadow);transform:translateY(-2px);}
.item:hover .item-icon svg{transform:rotate(-5deg) scale(1.08);}
.item--focused{border-color:var(--input-focus-border)!important;box-shadow:0 0 0 3px var(--input-focus-shadow),0 6px 20px var(--item-hover-shadow)!important;transform:translateY(-2px);}
.item.flash{animation:flashCopy .4s ease;}
@keyframes flashCopy{0%{background:rgba(67,160,71,.25);}100%{background:var(--item-bg);}}
@keyframes slideIn{from{opacity:0;transform:translateX(-14px) scale(.98);}to{opacity:1;transform:translateX(0) scale(1);}}
html[data-density="compact"] .item{padding:8px 12px;}
html[data-density="spacious"] .item{padding:20px 22px;}
.item-icon{width:36px;height:36px;background:var(--badge-bg);border-radius:10px;display:flex;align-items:center;justify-content:center;flex-shrink:0;}
.item-icon svg{width:17px;height:17px;stroke:var(--green-mid);fill:none;stroke-width:1.8;stroke-linecap:round;stroke-linejoin:round;transition:transform .2s;}
.item-info{flex:1;min-width:0;}
.produto{font-size:14px;font-weight:500;color:var(--text-primary);white-space:nowrap;overflow:hidden;text-overflow:ellipsis;}
.produto mark{background:var(--mark-bg);color:var(--mark-color);border-radius:2px;padding:0 1px;font-weight:700;font-style:normal;}
.caixa-badge{display:inline-flex;align-items:center;gap:4px;background:var(--badge-bg);color:var(--badge-color);border-radius:6px;padding:3px 8px;font-size:11px;font-weight:500;margin-top:5px;}
.caixa-badge svg{width:11px;height:11px;stroke:currentColor;fill:none;stroke-width:2;stroke-linecap:round;stroke-linejoin:round;}
.group-header{display:flex;align-items:center;justify-content:space-between;padding:9px 14px;background:linear-gradient(90deg,rgba(46,125,50,.10),rgba(46,125,50,.04));border:1px solid var(--chip-border);border-radius:11px;cursor:pointer;margin-bottom:6px;font-size:12.5px;font-weight:700;color:var(--green-mid);user-select:none;}
.group-header:hover{background:linear-gradient(90deg,rgba(46,125,50,.16),rgba(46,125,50,.08));}
.group-chevron{width:14px;height:14px;stroke:currentColor;fill:none;stroke-width:2.5;stroke-linecap:round;stroke-linejoin:round;transition:transform .25s;flex-shrink:0;}
.group-chevron.open{transform:rotate(180deg);}
.group-body{overflow:hidden;display:grid;gap:8px;}
.group-section{margin-bottom:14px;}
/* ═══════ STATES ═══════ */
.state-box{padding:38px 28px;text-align:center;}
.state-icon{width:52px;height:52px;margin:0 auto 14px;display:flex;align-items:center;justify-content:center;border-radius:14px;}
.state-title{font-size:15px;font-weight:700;color:var(--text-primary);margin-bottom:5px;}
.state-desc{font-size:12.5px;color:var(--text-muted);line-height:1.6;}
.state-hint .state-icon{background:#f0f4ff;}
.state-empty .state-icon{background:#fff8e1;}
.state-min .state-icon{background:#f5f5f5;}
[data-theme="dark"] .state-hint .state-icon{background:#0f142a;}
[data-theme="dark"] .state-empty .state-icon{background:#251a00;}
[data-theme="dark"] .state-min .state-icon{background:#1a2e1c;}
/* ═══════ VALIDADE PAGE ═══════ */
.val-page{display:flex;flex-direction:column;gap:18px;}
.val-summary{display:grid;grid-template-columns:repeat(3,1fr);gap:12px;}
.val-summary-card{background:var(--surface);border:1px solid var(--border);border-radius:16px;padding:16px 18px;box-shadow:0 2px 8px rgba(0,0,0,.05);display:flex;align-items:center;gap:14px;}
.val-sum-icon{width:42px;height:42px;border-radius:12px;display:flex;align-items:center;justify-content:center;flex-shrink:0;}
.val-sum-icon svg{width:20px;height:20px;fill:none;stroke-width:1.8;stroke-linecap:round;stroke-linejoin:round;}
.val-sum-icon.total{background:var(--chip-bg);}
.val-sum-icon.total svg{stroke:var(--green-mid);}
.val-sum-icon.atencao{background:var(--warning-bg);}
.val-sum-icon.atencao svg{stroke:var(--warning);}
.val-sum-icon.critico{background:var(--danger-bg);}
.val-sum-icon.critico svg{stroke:var(--danger);}
.val-sum-num{font-size:26px;font-weight:800;color:var(--text-primary);line-height:1;}
.val-sum-lbl{font-size:11px;color:var(--text-muted);margin-top:3px;}
.val-filters{background:var(--surface);border:1px solid var(--border);border-radius:16px;padding:14px 18px;display:flex;align-items:center;gap:10px;flex-wrap:wrap;}
.val-filter-input{flex:1;min-width:160px;height:38px;padding:0 14px;border-radius:10px;border:1.5px solid var(--input-border);background:var(--input-bg);color:var(--text-primary);font-size:13px;outline:none;transition:border-color .2s,box-shadow .2s;}
.val-filter-input:focus{border-color:var(--input-focus-border);box-shadow:0 0 0 3px var(--input-focus-shadow);}
.val-filter-input::placeholder{color:var(--text-muted);}
.val-select{height:38px;padding:0 10px;border-radius:10px;border:1.5px solid var(--input-border);background:var(--input-bg);color:var(--text-secondary);font-size:12px;outline:none;cursor:pointer;transition:border-color .2s;}
.val-select:focus{border-color:var(--input-focus-border);}
.val-refresh-btn{height:38px;padding:0 16px;border-radius:10px;background:var(--chip-bg);border:1px solid var(--chip-border);color:var(--green-mid);font-size:12px;font-weight:600;cursor:pointer;white-space:nowrap;display:flex;align-items:center;gap:6px;transition:background .15s,color .15s;}
.val-refresh-btn:hover{background:var(--green-mid);color:#fff;}
.val-refresh-btn svg{width:14px;height:14px;fill:none;stroke:currentColor;stroke-width:2;stroke-linecap:round;stroke-linejoin:round;}
.val-count-bar{font-size:12px;color:var(--text-muted);}
.val-count-bar strong{color:var(--text-primary);}
.val-grid{display:grid;grid-template-columns:repeat(auto-fill,minmax(300px,1fr));gap:12px;}
.val-card{background:var(--surface);border:1.5px solid var(--border);border-radius:16px;padding:16px 18px;transition:border-color .17s,box-shadow .17s,transform .17s;animation:slideIn .26s ease both;}
.val-card:hover{border-color:var(--item-hover-border);box-shadow:0 6px 22px var(--item-hover-shadow);transform:translateY(-2px);}
.val-card-header{display:flex;align-items:flex-start;justify-content:space-between;gap:8px;margin-bottom:8px;}
.val-prod-name{font-size:14px;font-weight:700;color:var(--text-primary);flex:1;line-height:1.3;}
.val-dias-badge{display:inline-flex;align-items:center;padding:3px 9px;border-radius:8px;font-size:11px;font-weight:700;white-space:nowrap;flex-shrink:0;}
.dias-ok{background:var(--ok-bg);color:var(--ok-color);}
.dias-warn{background:var(--warning-bg);color:var(--warning);}
.dias-crit{background:var(--danger-bg);color:var(--danger);}
.val-date{font-size:13px;font-weight:600;color:var(--text-primary);}
.val-lote-eta{font-size:11px;color:var(--text-muted);margin-top:2px;}
.val-badges{display:flex;flex-wrap:wrap;gap:5px;margin-top:8px;}
.badge{display:inline-flex;align-items:center;padding:2px 8px;border-radius:6px;font-size:10.5px;font-weight:600;}
.badge-ok{background:var(--ok-bg);color:var(--ok-color);}
.badge-warn{background:var(--warning-bg);color:var(--warning);}
.badge-crit{background:var(--danger-bg);color:var(--danger);}
.badge-temos{background:rgba(46,125,50,.12);color:var(--green-mid);}
.badge-falta{background:var(--danger-bg);color:var(--danger);}
.badge-produzir{background:rgba(245,127,23,.12);color:#f57f17;}
[data-theme="dark"] .badge-temos{background:rgba(67,160,71,.15);color:var(--green-light);}
[data-theme="dark"] .badge-falta{background:rgba(198,40,40,.15);color:#ef5350;}
[data-theme="dark"] .badge-produzir{background:rgba(245,127,23,.15);color:#ffb74d;}
.val-obs{font-size:11px;color:var(--text-muted);font-style:italic;margin-top:8px;padding-top:8px;border-top:1px solid var(--divider);}
/* ═══════ TOAST ═══════ */
.toast-container{position:fixed;bottom:24px;left:50%;transform:translateX(-50%);z-index:9000;display:flex;flex-direction:column;align-items:center;gap:8px;pointer-events:none;}
.toast{display:flex;align-items:center;gap:9px;padding:10px 18px;border-radius:12px;font-size:13px;font-weight:500;color:#fff;box-shadow:0 6px 24px rgba(0,0,0,.22);pointer-events:auto;animation:toastIn .25s ease both;min-width:180px;max-width:340px;}
.toast.removing{animation:toastOut .25s ease forwards;}
@keyframes toastIn{from{opacity:0;transform:translateY(18px) scale(.93);}to{opacity:1;transform:translateY(0) scale(1);}}
@keyframes toastOut{from{opacity:1;transform:translateY(0) scale(1);}to{opacity:0;transform:translateY(14px) scale(.93);}}
.toast-ok{background:linear-gradient(135deg,#2e7d32,#43a047);}
.toast-copy{background:linear-gradient(135deg,#1565c0,#1976d2);}
.toast-err{background:linear-gradient(135deg,#b71c1c,#c62828);}
.toast svg{width:16px;height:16px;fill:none;stroke:#fff;stroke-width:2.2;stroke-linecap:round;stroke-linejoin:round;flex-shrink:0;}
.toast-msg{flex:1;white-space:nowrap;overflow:hidden;text-overflow:ellipsis;}
/* ═══════ SHORTCUTS OVERLAY ═══════ */
.overlay-backdrop{position:fixed;inset:0;background:rgba(0,0,0,.45);z-index:8000;display:flex;align-items:center;justify-content:center;opacity:0;pointer-events:none;transition:opacity .2s;}
.overlay-backdrop.open{opacity:1;pointer-events:auto;}
.overlay-modal{background:var(--surface-solid);border-radius:18px;border:1px solid var(--border);box-shadow:var(--shadow-card);padding:28px 30px;max-width:420px;width:90%;max-height:80vh;overflow-y:auto;transform:scale(.94);transition:transform .2s;}
.overlay-backdrop.open .overlay-modal{transform:scale(1);}
.overlay-title{font-size:16px;font-weight:700;margin-bottom:18px;color:var(--text-primary);display:flex;align-items:center;justify-content:space-between;}
.overlay-close{background:none;border:none;cursor:pointer;color:var(--text-muted);display:flex;align-items:center;padding:2px;border-radius:6px;}
.overlay-close:hover{color:var(--text-primary);}
.shortcut-row{display:flex;align-items:center;justify-content:space-between;padding:7px 0;border-bottom:1px solid var(--divider);font-size:12.5px;color:var(--text-secondary);}
.shortcut-row:last-child{border-bottom:none;}
.shortcut-keys{display:flex;gap:4px;}
.kbd{display:inline-flex;align-items:center;background:var(--kbd-bg);border:1px solid var(--kbd-border);border-bottom-width:2px;border-radius:4px;padding:1px 6px;font-size:10.5px;font-family:monospace;color:var(--text-secondary);line-height:1.6;}
/* ═══════ SCROLL TO TOP ═══════ */
.scroll-top{position:fixed;bottom:28px;right:22px;z-index:800;background:var(--green-mid);color:#fff;border:none;width:40px;height:40px;border-radius:50%;cursor:pointer;display:flex;align-items:center;justify-content:center;box-shadow:0 4px 16px rgba(46,125,50,.4);opacity:0;transform:translateY(16px) scale(.85);transition:opacity .25s,transform .25s;pointer-events:none;}
.scroll-top.visible{opacity:1;transform:translateY(0) scale(1);pointer-events:auto;}
.scroll-top:hover{background:var(--green-base);}
.scroll-top svg{width:16px;height:16px;fill:none;stroke:#fff;stroke-width:2.5;stroke-linecap:round;stroke-linejoin:round;}
#confetti-canvas{position:fixed;inset:0;pointer-events:none;z-index:7000;}
/* ═══════ RESPONSIVE ═══════ */
@media (max-width:1099px) {
  .sidebar{transform:translateX(calc(-1 * var(--sidebar-width)));}
  .sidebar.open{transform:translateX(0);}
  .main-wrapper{margin-left:0;}
  .hamburger-btn{display:flex;}
  .mh-greeting{display:none;}
  .val-summary{grid-template-columns:1fr 1fr;}
}
@media (max-width:599px) {
  .main-content{padding:14px 14px 80px;}
  .search-area{padding:16px 16px;}
  .results-area{padding:0 16px 20px;}
  .val-summary{grid-template-columns:1fr;}
  .val-grid{grid-template-columns:1fr;}
  .val-filters{flex-direction:column;align-items:stretch;}
  .val-filter-input,.val-select{width:100%;}
  .toolbar.visible{max-height:100px;}
}
@media print {
  .orbs,.sidebar,.sidebar-overlay,.main-header,.scroll-top,.toast-container,.overlay-backdrop,#confetti-canvas{display:none!important;}
  .main-wrapper{margin-left:0;}
  body{background:#fff!important;}
  .card{box-shadow:none!important;border:1px solid #ccc!important;}
}
&lt;/style&gt;</t>
  </si>
  <si>
    <t>&lt;!-- Sidebar overlay (mobile) --&gt;
&lt;div class="sidebar-overlay" id="sidebarOverlay"&gt;&lt;/div&gt;
&lt;!-- Sidebar --&gt;
&lt;nav class="sidebar" id="sidebar" aria-label="Navegação principal"&gt;
  &lt;div class="sb-header"&gt;
    &lt;div class="sb-logo"&gt;
      &lt;div class="sb-logo-icon"&gt;
        &lt;svg viewBox="0 0 24 24"&gt;&lt;path d="M21 16V8a2 2 0 0 0-1-1.73l-7-4a2 2 0 0 0-2 0l-7 4A2 2 0 0 0 3 8v8a2 2 0 0 0 1 1.73l7 4a2 2 0 0 0 2 0l7-4A2 2 0 0 0 21 16z"/&gt;&lt;/svg&gt;
      &lt;/div&gt;
      &lt;div&gt;
        &lt;div class="sb-app-name"&gt;Sistema Essência&lt;/div&gt;
        &lt;div class="sb-version"&gt;v2.0&lt;/div&gt;
      &lt;/div&gt;
    &lt;/div&gt;
  &lt;/div&gt;
  &lt;div class="sb-section"&gt;
    &lt;div class="sb-section-title"&gt;Páginas&lt;/div&gt;
    &lt;div class="sb-nav"&gt;
      &lt;button class="sb-item active" data-page="inventario"&gt;
        &lt;span class="sb-item-icon"&gt;&lt;svg viewBox="0 0 24 24"&gt;&lt;path d="M20 7H4a2 2 0 0 0-2 2v6a2 2 0 0 0 2 2h16a2 2 0 0 0 2-2V9a2 2 0 0 0-2-2z"/&gt;&lt;path d="M16 7V5a2 2 0 0 0-2-2h-4a2 2 0 0 0-2 2v2"/&gt;&lt;/svg&gt;&lt;/span&gt;
        &lt;span class="sb-item-label"&gt;Inventário&lt;/span&gt;
      &lt;/button&gt;
      &lt;button class="sb-item" data-page="validade"&gt;
        &lt;span class="sb-item-icon"&gt;&lt;svg viewBox="0 0 24 24"&gt;&lt;rect x="3" y="4" width="18" height="18" rx="2" ry="2"/&gt;&lt;line x1="16" y1="2" x2="16" y2="6"/&gt;&lt;line x1="8" y1="2" x2="8" y2="6"/&gt;&lt;line x1="3" y1="10" x2="21" y2="10"/&gt;&lt;/svg&gt;&lt;/span&gt;
        &lt;span class="sb-item-label"&gt;Validade&lt;/span&gt;
      &lt;/button&gt;
      &lt;button class="sb-item sb-item--soon" disabled&gt;
        &lt;span class="sb-item-icon"&gt;&lt;svg viewBox="0 0 24 24"&gt;&lt;rect x="2" y="7" width="20" height="14" rx="2"/&gt;&lt;path d="M16 21V5a2 2 0 0 0-2-2h-4a2 2 0 0 0-2 2v16"/&gt;&lt;/svg&gt;&lt;/span&gt;
        &lt;span class="sb-item-label"&gt;Produção&lt;/span&gt;
        &lt;span class="sb-soon-badge"&gt;Em breve&lt;/span&gt;
      &lt;/button&gt;
      &lt;button class="sb-item sb-item--soon" disabled&gt;
        &lt;span class="sb-item-icon"&gt;&lt;svg viewBox="0 0 24 24"&gt;&lt;circle cx="9" cy="21" r="1"/&gt;&lt;circle cx="20" cy="21" r="1"/&gt;&lt;path d="M1 1h4l2.68 13.39a2 2 0 0 0 2 1.61h9.72a2 2 0 0 0 2-1.61L23 6H6"/&gt;&lt;/svg&gt;&lt;/span&gt;
        &lt;span class="sb-item-label"&gt;Pedidos&lt;/span&gt;
        &lt;span class="sb-soon-badge"&gt;Em breve&lt;/span&gt;
      &lt;/button&gt;
    &lt;/div&gt;
  &lt;/div&gt;
  &lt;div class="sb-divider"&gt;&lt;/div&gt;
  &lt;div class="sb-tools"&gt;
    &lt;div class="sb-section-title"&gt;Ferramentas&lt;/div&gt;
    &lt;div class="sb-nav"&gt;
      &lt;button class="sb-tool-btn" id="sidebarThemeBtn"&gt;
        &lt;svg id="sidebarThemeIcon" viewBox="0 0 24 24"&gt;&lt;path d="M21 12.79A9 9 0 1 1 11.21 3 7 7 0 0 0 21 12.79z"/&gt;&lt;/svg&gt;
        &lt;span id="sidebarThemeLbl"&gt;Tema escuro&lt;/span&gt;
      &lt;/button&gt;
      &lt;button class="sb-tool-btn" id="sidebarDensityBtn"&gt;
        &lt;svg viewBox="0 0 24 24"&gt;&lt;line x1="3" y1="6" x2="21" y2="6"/&gt;&lt;line x1="3" y1="12" x2="21" y2="12"/&gt;&lt;line x1="3" y1="18" x2="21" y2="18"/&gt;&lt;/svg&gt;
        &lt;span id="sidebarDensityLabel"&gt;Densidade: Normal&lt;/span&gt;
      &lt;/button&gt;
      &lt;button class="sb-tool-btn" id="sidebarShortcutsBtn"&gt;
        &lt;svg viewBox="0 0 24 24"&gt;&lt;rect x="2" y="6" width="20" height="12" rx="2"/&gt;&lt;line x1="6" y1="10" x2="6.01" y2="10"/&gt;&lt;line x1="10" y1="10" x2="10.01" y2="10"/&gt;&lt;line x1="14" y1="10" x2="14.01" y2="10"/&gt;&lt;line x1="18" y1="10" x2="18.01" y2="10"/&gt;&lt;line x1="6" y1="14" x2="18" y2="14"/&gt;&lt;/svg&gt;
        &lt;span&gt;Atalhos &lt;span class="kbd" style="margin-left:4px"&gt;?&lt;/span&gt;&lt;/span&gt;
      &lt;/button&gt;
    &lt;/div&gt;
  &lt;/div&gt;
  &lt;div class="sb-footer"&gt;Sistema Essência &amp;nbsp;·&amp;nbsp; v2.0&lt;/div&gt;
&lt;/nav&gt;</t>
  </si>
  <si>
    <t>&lt;div id="page-inventario" class="page active"&gt;
  &lt;div class="card"&gt;
    &lt;div class="hero" aria-hidden="true"&gt;
      &lt;svg class="hero-pattern" viewBox="0 0 1000 76" preserveAspectRatio="xMidYMid slice"&gt;
        &lt;defs&gt;&lt;pattern id="hpat" x="0" y="0" width="40" height="40" patternUnits="userSpaceOnUse"&gt;&lt;circle cx="20" cy="20" r="1.5" fill="white"/&gt;&lt;/pattern&gt;&lt;/defs&gt;
        &lt;rect width="1000" height="76" fill="url(#hpat)"/&gt;
      &lt;/svg&gt;
      &lt;div class="hero-content"&gt;
        &lt;svg class="hero-icon" viewBox="0 0 24 24"&gt;&lt;rect x="2" y="3" width="20" height="14" rx="2"/&gt;&lt;line x1="8" y1="21" x2="16" y2="21"/&gt;&lt;line x1="12" y1="17" x2="12" y2="21"/&gt;&lt;/svg&gt;
        &lt;div class="hero-text"&gt;
          &lt;div class="hero-title"&gt;Inventário de Produtos&lt;/div&gt;
          &lt;div class="hero-sub" id="heroSub"&gt;Pesquise pelo nome ou código do produto&lt;/div&gt;
        &lt;/div&gt;
        &lt;div class="header-icon-wrap" style="margin-left:auto"&gt;
          &lt;div class="header-icon" id="headerIcon"&gt;
            &lt;svg viewBox="0 0 24 24"&gt;&lt;path d="M20 7H4a2 2 0 0 0-2 2v6a2 2 0 0 0 2 2h16a2 2 0 0 0 2-2V9a2 2 0 0 0-2-2z"/&gt;&lt;path d="M16 7V5a2 2 0 0 0-2-2h-4a2 2 0 0 0-2 2v2"/&gt;&lt;/svg&gt;
          &lt;/div&gt;
          &lt;span class="result-badge" id="resultBadge"&gt;&lt;/span&gt;
        &lt;/div&gt;
      &lt;/div&gt;
    &lt;/div&gt;
    &lt;div class="search-area"&gt;
      &lt;div class="search-wrapper"&gt;
        &lt;svg class="search-icon" id="searchIcon" viewBox="0 0 24 24" fill="none" stroke="currentColor" stroke-width="2" stroke-linecap="round" stroke-linejoin="round"&gt;
          &lt;circle cx="11" cy="11" r="7"/&gt;&lt;line x1="21" y1="21" x2="16.65" y2="16.65"/&gt;
        &lt;/svg&gt;
        &lt;span class="ghost-suggestion" id="ghostSuggestion" aria-hidden="true"&gt;&lt;/span&gt;
        &lt;input
          class="search-box" id="searchBox"
          type="search"
          placeholder="Ex: mirra + roll on"
          autocomplete="off" autocorrect="off" spellcheck="false"
          aria-label="Campo de busca"
        &gt;
        &lt;button class="clear-btn" id="clearBtn" aria-label="Limpar"&gt;
          &lt;svg viewBox="0 0 24 24" width="12" height="12" fill="none" stroke="currentColor" stroke-width="2.5" stroke-linecap="round"&gt;
            &lt;line x1="18" y1="6" x2="6" y2="18"/&gt;&lt;line x1="6" y1="6" x2="18" y2="18"/&gt;
          &lt;/svg&gt;
        &lt;/button&gt;
      &lt;/div&gt;
      &lt;div class="ghost-hint" id="ghostHint"&gt;&lt;/div&gt;
      &lt;div class="term-pills-wrap" id="termPillsWrap"&gt;
        &lt;div class="term-pills-inner" id="termPills"&gt;&lt;/div&gt;
      &lt;/div&gt;
      &lt;div class="recents-wrap" id="recentsWrap" style="display:none"&gt;
        &lt;div class="recents-header"&gt;
          &lt;span class="recents-label"&gt;Recentes&lt;/span&gt;
          &lt;button class="clear-all-btn" id="clearAllBtn"&gt;Limpar tudo&lt;/button&gt;
        &lt;/div&gt;
        &lt;div class="recents" id="recentsList"&gt;&lt;/div&gt;
      &lt;/div&gt;
    &lt;/div&gt;
    &lt;div class="results-area"&gt;
      &lt;div class="toolbar" id="toolbar"&gt;
        &lt;div class="toolbar-left"&gt;
          &lt;span class="loading" id="loadingIndicator"&gt;&lt;span class="spinner"&gt;&lt;/span&gt; Buscando…&lt;/span&gt;
          &lt;span class="result-count" id="resultCount"&gt;&lt;/span&gt;
          &lt;span class="resp-time" id="respTime"&gt;&lt;/span&gt;
        &lt;/div&gt;
        &lt;div class="toolbar-right"&gt;
          &lt;select class="toolbar-sort" id="sortSelect"&gt;
            &lt;option value="default"&gt;Padrão&lt;/option&gt;
            &lt;option value="name-az"&gt;Nome A→Z&lt;/option&gt;
            &lt;option value="name-za"&gt;Nome Z→A&lt;/option&gt;
            &lt;option value="box-az"&gt;Caixa A→Z&lt;/option&gt;
          &lt;/select&gt;
          &lt;div class="view-toggles"&gt;
            &lt;button class="view-btn" id="viewList" title="Lista"&gt;
              &lt;svg viewBox="0 0 24 24"&gt;&lt;line x1="8" y1="6" x2="21" y2="6"/&gt;&lt;line x1="8" y1="12" x2="21" y2="12"/&gt;&lt;line x1="8" y1="18" x2="21" y2="18"/&gt;&lt;circle cx="3.5" cy="6" r="1.5" fill="currentColor" stroke="none"/&gt;&lt;circle cx="3.5" cy="12" r="1.5" fill="currentColor" stroke="none"/&gt;&lt;circle cx="3.5" cy="18" r="1.5" fill="currentColor" stroke="none"/&gt;&lt;/svg&gt;
            &lt;/button&gt;
            &lt;button class="view-btn" id="viewGrid" title="Grade"&gt;
              &lt;svg viewBox="0 0 24 24"&gt;&lt;rect x="3" y="3" width="7" height="7" rx="1"/&gt;&lt;rect x="14" y="3" width="7" height="7" rx="1"/&gt;&lt;rect x="3" y="14" width="7" height="7" rx="1"/&gt;&lt;rect x="14" y="14" width="7" height="7" rx="1"/&gt;&lt;/svg&gt;
            &lt;/button&gt;
            &lt;button class="view-btn" id="viewGroup" title="Agrupar"&gt;
              &lt;svg viewBox="0 0 24 24"&gt;&lt;rect x="3" y="3" width="18" height="5" rx="1"/&gt;&lt;rect x="3" y="10" width="18" height="5" rx="1"/&gt;&lt;rect x="3" y="17" width="18" height="5" rx="1"/&gt;&lt;/svg&gt;
            &lt;/button&gt;
          &lt;/div&gt;
          &lt;button class="small-btn" id="shareBtn"&gt;
            &lt;svg viewBox="0 0 24 24"&gt;&lt;circle cx="18" cy="5" r="2"/&gt;&lt;circle cx="6" cy="12" r="2"/&gt;&lt;circle cx="18" cy="19" r="2"/&gt;&lt;line x1="8.59" y1="13.51" x2="15.42" y2="17.49"/&gt;&lt;line x1="15.41" y1="6.51" x2="8.59" y2="10.49"/&gt;&lt;/svg&gt;
            Compartilhar
          &lt;/button&gt;
          &lt;button class="small-btn" id="exportBtn"&gt;
            &lt;svg viewBox="0 0 24 24"&gt;&lt;path d="M21 15v4a2 2 0 0 1-2 2H5a2 2 0 0 1-2-2v-4"/&gt;&lt;polyline points="7 10 12 15 17 10"/&gt;&lt;line x1="12" y1="15" x2="12" y2="3"/&gt;&lt;/svg&gt;
            CSV
          &lt;/button&gt;
          &lt;button class="small-btn" id="printBtn"&gt;
            &lt;svg viewBox="0 0 24 24"&gt;&lt;polyline points="6 9 6 2 18 2 18 9"/&gt;&lt;path d="M6 18H4a2 2 0 0 1-2-2v-5a2 2 0 0 1 2-2h16a2 2 0 0 1 2 2v5a2 2 0 0 1-2 2h-2"/&gt;&lt;rect x="6" y="14" width="12" height="8"/&gt;&lt;/svg&gt;
            Imprimir
          &lt;/button&gt;
        &lt;/div&gt;
      &lt;/div&gt;
      &lt;div id="content"&gt;&lt;/div&gt;
    &lt;/div&gt;
  &lt;/div&gt;
&lt;/div&gt;</t>
  </si>
  <si>
    <t>&lt;div id="page-validade" class="page"&gt;
  &lt;div class="val-page"&gt;
    &lt;!-- Summary cards --&gt;
    &lt;div class="val-summary"&gt;
      &lt;div class="val-summary-card"&gt;
        &lt;div class="val-sum-icon total"&gt;
          &lt;svg viewBox="0 0 24 24"&gt;&lt;path d="M20 7H4a2 2 0 0 0-2 2v6a2 2 0 0 0 2 2h16a2 2 0 0 0 2-2V9a2 2 0 0 0-2-2z"/&gt;&lt;path d="M16 7V5a2 2 0 0 0-2-2h-4a2 2 0 0 0-2 2v2"/&gt;&lt;/svg&gt;
        &lt;/div&gt;
        &lt;div&gt;
          &lt;div class="val-sum-num" id="valSumTotal"&gt;—&lt;/div&gt;
          &lt;div class="val-sum-lbl"&gt;Total de produtos&lt;/div&gt;
        &lt;/div&gt;
      &lt;/div&gt;
      &lt;div class="val-summary-card"&gt;
        &lt;div class="val-sum-icon atencao"&gt;
          &lt;svg viewBox="0 0 24 24"&gt;&lt;circle cx="12" cy="12" r="9"/&gt;&lt;line x1="12" y1="8" x2="12" y2="12"/&gt;&lt;line x1="12" y1="16" x2="12.01" y2="16"/&gt;&lt;/svg&gt;
        &lt;/div&gt;
        &lt;div&gt;
          &lt;div class="val-sum-num" id="valSumAtencao"&gt;—&lt;/div&gt;
          &lt;div class="val-sum-lbl"&gt;Atenção (0–90 dias)&lt;/div&gt;
        &lt;/div&gt;
      &lt;/div&gt;
      &lt;div class="val-summary-card"&gt;
        &lt;div class="val-sum-icon critico"&gt;
          &lt;svg viewBox="0 0 24 24"&gt;&lt;polygon points="12 2 22 20 2 20"/&gt;&lt;line x1="12" y1="9" x2="12" y2="13"/&gt;&lt;line x1="12" y1="17" x2="12.01" y2="17"/&gt;&lt;/svg&gt;
        &lt;/div&gt;
        &lt;div&gt;
          &lt;div class="val-sum-num" id="valSumCritico"&gt;—&lt;/div&gt;
          &lt;div class="val-sum-lbl"&gt;Crítico / Vencido&lt;/div&gt;
        &lt;/div&gt;
      &lt;/div&gt;
    &lt;/div&gt;
    &lt;!-- Filtros --&gt;
    &lt;div class="val-filters"&gt;
      &lt;input
        class="val-filter-input" id="valFilterInput"
        type="search"
        placeholder="Filtrar por nome de produto…"
        autocomplete="off"
      &gt;
      &lt;select class="val-select" id="valSortSelect"&gt;
        &lt;option value="nearest"&gt;Validade mais próxima&lt;/option&gt;
        &lt;option value="farthest"&gt;Validade mais distante&lt;/option&gt;
        &lt;option value="name"&gt;Produto A–Z&lt;/option&gt;
        &lt;option value="days"&gt;Dias restantes&lt;/option&gt;
      &lt;/select&gt;
      &lt;select class="val-select" id="valStatusSelect"&gt;
        &lt;option value="all"&gt;Todos os status&lt;/option&gt;
        &lt;option value="ok"&gt;OK&lt;/option&gt;
        &lt;option value="atencao"&gt;Atenção&lt;/option&gt;
        &lt;option value="critico"&gt;Crítico&lt;/option&gt;
        &lt;option value="vencido"&gt;Vencido&lt;/option&gt;
      &lt;/select&gt;
      &lt;button class="val-refresh-btn" id="valRefreshBtn"&gt;
        &lt;svg viewBox="0 0 24 24"&gt;&lt;polyline points="1 4 1 10 7 10"/&gt;&lt;path d="M3.51 15a9 9 0 1 0 .49-3.25"/&gt;&lt;/svg&gt;
        Atualizar
      &lt;/button&gt;
    &lt;/div&gt;
    &lt;div class="val-count-bar" id="valCountBar"&gt;&lt;/div&gt;
    &lt;!-- Skeleton loader --&gt;
    &lt;div id="valLoading"&gt;
      &lt;div class="skeleton-list"&gt;
        &lt;div class="skeleton-item"&gt;&lt;div class="skel-icon shimmer"&gt;&lt;/div&gt;&lt;div class="skel-body"&gt;&lt;div class="skel-line shimmer" style="width:65%"&gt;&lt;/div&gt;&lt;div class="skel-line short shimmer"&gt;&lt;/div&gt;&lt;/div&gt;&lt;/div&gt;
        &lt;div class="skeleton-item"&gt;&lt;div class="skel-icon shimmer"&gt;&lt;/div&gt;&lt;div class="skel-body"&gt;&lt;div class="skel-line shimmer" style="width:50%"&gt;&lt;/div&gt;&lt;div class="skel-line short shimmer"&gt;&lt;/div&gt;&lt;/div&gt;&lt;/div&gt;
        &lt;div class="skeleton-item"&gt;&lt;div class="skel-icon shimmer"&gt;&lt;/div&gt;&lt;div class="skel-body"&gt;&lt;div class="skel-line shimmer" style="width:72%"&gt;&lt;/div&gt;&lt;div class="skel-line short shimmer"&gt;&lt;/div&gt;&lt;/div&gt;&lt;/div&gt;
      &lt;/div&gt;
    &lt;/div&gt;
    &lt;div id="valError" style="display:none"&gt;&lt;/div&gt;
    &lt;div class="val-grid" id="valGrid" style="display:none"&gt;&lt;/div&gt;
  &lt;/div&gt;
&lt;/div&gt;</t>
  </si>
  <si>
    <t>&lt;script&gt;
(function() {
'use strict';
/* ═══════════════════════════════════════════════════════════
   UTILS
   ═══════════════════════════════════════════════════════════ */
function escHtml(s) {
  return String(s).replace(/&amp;/g,'&amp;amp;').replace(/&lt;/g,'&amp;lt;').replace(/&gt;/g,'&amp;gt;').replace(/"/g,'&amp;quot;');
}
function highlight(text, terms) {
  var safe = escHtml(text);
  terms.forEach(function(t) {
    if (!t) return;
    var re = new RegExp('(' + t.replace(/[.*+?^${}()|[\]\\]/g,'\\$&amp;') + ')','gi');
    safe = safe.replace(re,'&lt;mark&gt;$1&lt;/mark&gt;');
  });
  return safe;
}
function qs(sel, ctx) { return (ctx || document).querySelector(sel); }
function qsa(sel, ctx) { return Array.prototype.slice.call((ctx || document).querySelectorAll(sel)); }
function fmtDate(str) {
  if (!str) return '';
  if (/^\d{2}\/\d{2}\/\d{4}$/.test(str)) return str;
  var d = new Date(str);
  if (isNaN(d.getTime())) return str;
  return ('0'+d.getDate()).slice(-2)+'/'+('0'+(d.getMonth()+1)).slice(-2)+'/'+d.getFullYear();
}
/* ═══════════════════════════════════════════════════════════
   TOAST
   ═══════════════════════════════════════════════════════════ */
function showToast(msg, type) {
  var c = qs('#toastContainer');
  if (!c) return;
  var icons = {
    ok:   '&lt;svg viewBox="0 0 24 24"&gt;&lt;polyline points="20 6 9 17 4 12"/&gt;&lt;/svg&gt;',
    copy: '&lt;svg viewBox="0 0 24 24"&gt;&lt;rect x="9" y="9" width="13" height="13" rx="2"/&gt;&lt;path d="M5 15H4a2 2 0 0 1-2-2V4a2 2 0 0 1 2-2h9a2 2 0 0 1 2 2v1"/&gt;&lt;/svg&gt;',
    err:  '&lt;svg viewBox="0 0 24 24"&gt;&lt;circle cx="12" cy="12" r="9"/&gt;&lt;line x1="12" y1="8" x2="12" y2="12"/&gt;&lt;line x1="12" y1="16" x2="12.01" y2="16"/&gt;&lt;/svg&gt;'
  };
  var t = document.createElement('div');
  t.className = 'toast toast-'+(type||'ok');
  t.innerHTML = (icons[type]||icons.ok)+'&lt;span class="toast-msg"&gt;'+escHtml(msg)+'&lt;/span&gt;';
  c.appendChild(t);
  setTimeout(function() {
    t.classList.add('removing');
    setTimeout(function() { if (t.parentNode) t.parentNode.removeChild(t); }, 280);
  }, 2600);
}
/* ═══════════════════════════════════════════════════════════
   APP — estado global
   ═══════════════════════════════════════════════════════════ */
var APP = {
  theme:       localStorage.getItem('inv_theme') || 'light',
  density:     localStorage.getItem('inv_density') || 'normal',
  hc:          localStorage.getItem('inv_hc') === '1',
  currentPage: 'inventario',
  sesSearches: 0,
  sesHits:     0,
  recents: (function() {
    try { return JSON.parse(localStorage.getItem('inv_recents')||'[]'); } catch(e) { return []; }
  })(),
  applyTheme: function(t) {
    APP.theme = t;
    document.documentElement.setAttribute('data-theme', t);
    localStorage.setItem('inv_theme', t);
    var icon = qs('#sidebarThemeIcon');
    var lbl  = qs('#sidebarThemeLbl');
    if (t === 'dark') {
      if (icon) icon.innerHTML = '&lt;circle cx="12" cy="12" r="4"/&gt;&lt;line x1="12" y1="2" x2="12" y2="4"/&gt;&lt;line x1="12" y1="20" x2="12" y2="22"/&gt;&lt;line x1="4.22" y1="4.22" x2="5.64" y2="5.64"/&gt;&lt;line x1="18.36" y1="18.36" x2="19.78" y2="19.78"/&gt;&lt;line x1="2" y1="12" x2="4" y2="12"/&gt;&lt;line x1="20" y1="12" x2="22" y2="12"/&gt;&lt;line x1="4.22" y1="19.78" x2="5.64" y2="18.36"/&gt;&lt;line x1="18.36" y1="5.64" x2="19.78" y2="4.22"/&gt;';
      if (lbl) lbl.textContent = 'Tema claro';
    } else {
      if (icon) icon.innerHTML = '&lt;path d="M21 12.79A9 9 0 1 1 11.21 3 7 7 0 0 0 21 12.79z"/&gt;';
      if (lbl) lbl.textContent = 'Tema escuro';
    }
  },
  applyDensity: function(d) {
    APP.density = d;
    document.documentElement.setAttribute('data-density', d);
    localStorage.setItem('inv_density', d);
    var names = {normal:'Normal',compact:'Compacto',spacious:'Espaçoso'};
    var lbl = qs('#sidebarDensityLabel');
    if (lbl) lbl.textContent = 'Densidade: '+(names[d]||d);
  },
  applyHC: function(v) {
    APP.hc = v;
    document.documentElement.setAttribute('data-hc', v?'1':'0');
    localStorage.setItem('inv_hc', v?'1':'0');
  },
  updateStats: function(term, count) {
    APP.sesSearches++;
    APP.sesHits += count;
    var pill = qs('#sessionStats');
    if (pill) { pill.textContent = APP.sesSearches+' busc. · '+APP.sesHits+' ach.'; pill.classList.add('visible'); }
  }
};
/* ═══════════════════════════════════════════════════════════
   SHORTCUTS OVERLAY
   ═══════════════════════════════════════════════════════════ */
var SHORTCUTS = {
  open:   function() { qs('#shortcutsOverlay').classList.add('open'); },
  close:  function() { qs('#shortcutsOverlay').classList.remove('open'); },
  isOpen: function() { return qs('#shortcutsOverlay').classList.contains('open'); }
};
qs('#overlayClose').addEventListener('click', SHORTCUTS.close);
qs('#shortcutsOverlay').addEventListener('click', function(e) {
  if (e.target === qs('#shortcutsOverlay')) SHORTCUTS.close();
});
qs('#sidebarShortcutsBtn').addEventListener('click', SHORTCUTS.open);
qs('#shortcutsHeaderBtn').addEventListener('click', SHORTCUTS.open);
/* ═══════════════════════════════════════════════════════════
   ROUTER
   ═══════════════════════════════════════════════════════════ */
var ROUTER = {
  currentPage: null,
  navigate: function(pageId) {
    if (ROUTER.currentPage === pageId) {
      if (window.innerWidth &lt; 1100) SIDEBAR.close();
      return;
    }
    var page = PAGES[pageId];
    if (!page) return;
    // Destroy current page
    if (ROUTER.currentPage) {
      var oldEl = qs('#page-' + ROUTER.currentPage);
      if (oldEl) oldEl.classList.remove('active');
      if (PAGES[ROUTER.currentPage] &amp;&amp; PAGES[ROUTER.currentPage].destroy) {
        PAGES[ROUTER.currentPage].destroy();
      }
    }
    ROUTER.currentPage = pageId;
    APP.currentPage = pageId;
    // Show new page
    var newEl = qs('#page-' + pageId);
    if (newEl) newEl.classList.add('active');
    // Update sidebar nav active state
    qsa('.sb-item[data-page]').forEach(function(el) {
      el.classList.toggle('active', el.getAttribute('data-page') === pageId);
    });
    // Update hash
    window.location.hash = '#' + pageId;
    // Update breadcrumb
    var bc = qs('#breadcrumbCurrent');
    if (bc) bc.textContent = page.label;
    // Update greeting
    var greet = qs('#headerGreeting');
    if (greet) {
      if (pageId === 'inventario') {
        var h = new Date().getHours();
        greet.textContent = h &lt; 12 ? 'Bom dia 👋' : h &lt; 18 ? 'Boa tarde 👋' : 'Boa noite 👋';
        greet.style.display = '';
      } else {
        greet.style.display = 'none';
      }
    }
    // Close sidebar on mobile
    if (window.innerWidth &lt; 1100) SIDEBAR.close();
    // Init page
    if (page.init) page.init();
  },
  init: function() {
    var hash = window.location.hash;
    var pageId = 'inventario';
    if (hash === '#validade') pageId = 'validade';
    ROUTER.navigate(pageId);
  }
};
/* ═══════════════════════════════════════════════════════════
   SIDEBAR
   ═══════════════════════════════════════════════════════════ */
var SIDEBAR = {
  isOpen: false,
  init: function() {
    qs('#hamburgerBtn').addEventListener('click', function() { SIDEBAR.toggle(); });
    qs('#sidebarOverlay').addEventListener('click', function() { SIDEBAR.close(); });
    qsa('.sb-item[data-page]').forEach(function(item) {
      item.addEventListener('click', function() {
        ROUTER.navigate(item.getAttribute('data-page'));
        if (window.innerWidth &lt; 1100) SIDEBAR.close();
      });
    });
    qs('#sidebarThemeBtn').addEventListener('click', function() {
      APP.applyTheme(APP.theme === 'light' ? 'dark' : 'light');
      showToast(APP.theme === 'dark' ? 'Tema escuro ativado' : 'Tema claro ativado', 'ok');
    });
    qs('#sidebarDensityBtn').addEventListener('click', function() {
      var densities = ['normal','compact','spacious'];
      var next = densities[(densities.indexOf(APP.density)+1) % densities.length];
      APP.applyDensity(next);
      showToast('Densidade: '+next, 'ok');
    });
    qs('#hcBtn').addEventListener('click', function() {
      APP.applyHC(!APP.hc);
      showToast('Alto contraste: '+(APP.hc?'ativado':'desativado'), 'ok');
    });
  },
  toggle: function() { SIDEBAR.isOpen ? SIDEBAR.close() : SIDEBAR.open(); },
  open:   function() {
    qs('#sidebar').classList.add('open');
    qs('#sidebarOverlay').classList.add('open');
    SIDEBAR.isOpen = true;
  },
  close:  function() {
    qs('#sidebar').classList.remove('open');
    qs('#sidebarOverlay').classList.remove('open');
    SIDEBAR.isOpen = false;
  }
};
/* ═══════════════════════════════════════════════════════════
   SCROLL TO TOP
   ═══════════════════════════════════════════════════════════ */
var scrollTopBtn = qs('#scrollTop');
window.addEventListener('scroll', function() {
  if (scrollTopBtn) scrollTopBtn.classList.toggle('visible', window.scrollY &gt; 200);
});
if (scrollTopBtn) scrollTopBtn.addEventListener('click', function() {
  window.scrollTo({top:0, behavior:'smooth'});
});
/* ═══════════════════════════════════════════════════════════
   PAGE: INVENTÁRIO
   ═══════════════════════════════════════════════════════════ */
var INV = {
  lastResults:   [],
  lastTerms:     [],
  currentTerms:  [],
  debounceTimer: null,
  focusedIndex:  -1,
  viewMode:  localStorage.getItem('inv_view') || 'list',
  sortMode:  localStorage.getItem('inv_sort') || 'default',
  _eventsAttached: false,
  getCache: function(term) {
    try {
      var r = sessionStorage.getItem('inv_cache_'+term.toLowerCase().trim());
      return r ? JSON.parse(r) : null;
    } catch(e) { return null; }
  },
  setCache: function(term, data) {
    try { sessionStorage.setItem('inv_cache_'+term.toLowerCase().trim(), JSON.stringify(data)); } catch(e) {}
  },
  saveRecent: function(term) {
    if (!term || term.length &lt; 2) return;
    APP.recents = APP.recents.filter(function(r) { return r.term !== term; });
    APP.recents.unshift({term: term, ts: Date.now()});
    if (APP.recents.length &gt; 8) APP.recents = APP.recents.slice(0,8);
    localStorage.setItem('inv_recents', JSON.stringify(APP.recents));
  },
  removeRecent: function(term) {
    APP.recents = APP.recents.filter(function(r) { return r.term !== term; });
    localStorage.setItem('inv_recents', JSON.stringify(APP.recents));
    INV.renderRecentsChips();
  },
  clearAllRecents: function() {
    APP.recents = [];
    localStorage.removeItem('inv_recents');
    INV.renderRecentsChips();
  },
  renderRecentsChips: function() {
    var wrap = qs('#recentsWrap'), list = qs('#recentsList');
    if (!wrap || !list) return;
    if (!APP.recents.length) { wrap.style.display = 'none'; return; }
    wrap.style.display = '';
    list.innerHTML = '';
    var frag = document.createDocumentFragment();
    APP.recents.forEach(function(r) {
      var chip = document.createElement('span');
      chip.className = 'chip';
      chip.innerHTML =
        '&lt;svg viewBox="0 0 24 24" width="10" height="10" fill="none" stroke="currentColor" stroke-width="2" stroke-linecap="round"&gt;&lt;polyline points="1 4 1 10 7 10"/&gt;&lt;path d="M3.51 15a9 9 0 1 0 .49-3.25"/&gt;&lt;/svg&gt;'+
        '&lt;span class="chip-text"&gt;'+escHtml(r.term)+'&lt;/span&gt;'+
        '&lt;button class="chip-remove" aria-label="Remover"&gt;&lt;svg viewBox="0 0 24 24" width="10" height="10" fill="none" stroke="currentColor" stroke-width="2.5" stroke-linecap="round"&gt;&lt;line x1="18" y1="6" x2="6" y2="18"/&gt;&lt;line x1="6" y1="6" x2="18" y2="18"/&gt;&lt;/svg&gt;&lt;/button&gt;';
      (function(term) {
        chip.querySelector('.chip-text').addEventListener('click', function() {
          var sb = qs('#searchBox');
          if (sb) { sb.value = term; INV.triggerSearch(term, true); }
        });
        chip.querySelector('.chip-remove').addEventListener('click', function(e) {
          e.stopPropagation(); INV.removeRecent(term);
        });
      })(r.term);
      frag.appendChild(chip);
    });
    list.appendChild(frag);
  },
  renderTermPills: function(terms) {
    INV.currentTerms = terms;
    var wrap = qs('#termPillsWrap'), el = qs('#termPills');
    if (!wrap || !el) return;
    if (terms.length &lt;= 1) { wrap.classList.remove('open'); return; }
    wrap.classList.add('open');
    el.innerHTML = '';
    var frag = document.createDocumentFragment();
    terms.forEach(function(t, i) {
      if (!t) return;
      var pill = document.createElement('span');
      pill.className = 'term-pill';
      pill.innerHTML = escHtml(t)+'&lt;button class="term-pill-x"&gt;&lt;svg viewBox="0 0 24 24" width="10" height="10" fill="none" stroke="currentColor" stroke-width="3" stroke-linecap="round"&gt;&lt;line x1="18" y1="6" x2="6" y2="18"/&gt;&lt;line x1="6" y1="6" x2="18" y2="18"/&gt;&lt;/svg&gt;&lt;/button&gt;';
      (function(idx) {
        pill.querySelector('.term-pill-x').addEventListener('click', function() {
          var newVal = INV.currentTerms.filter(function(_,j){return j!==idx;}).join('+');
          var sb = qs('#searchBox'); if (sb) sb.value = newVal;
          INV.triggerSearch(newVal, true);
        });
      })(i);
      frag.appendChild(pill);
    });
    el.appendChild(frag);
  },
  updateGhostSuggestion: function(val) {
    var gs = qs('#ghostSuggestion'), gh = qs('#ghostHint');
    if (!gs || !gh) return;
    if (!val) { gs.textContent = ''; gh.innerHTML = ''; return; }
    var match = APP.recents.find(function(r) {
      return r.term.toLowerCase().startsWith(val.toLowerCase()) &amp;&amp; r.term.toLowerCase() !== val.toLowerCase();
    });
    if (match) {
      gs.textContent = match.term;
      gh.innerHTML = '&lt;span class="ghost-tab"&gt;Tab&lt;/span&gt; para aceitar "'+escHtml(match.term)+'"';
    } else {
      gs.textContent = '';
      gh.innerHTML = val.includes('+') ? '&lt;span class="ghost-tab"&gt;+&lt;/span&gt; adicione mais termos' : '';
    }
  },
  triggerSearch: function(term, immediate) {
    clearTimeout(INV.debounceTimer);
    INV.debounceTimer = setTimeout(function() { INV.doSearch(term); }, immediate ? 0 : 280);
  },
  doSearch: function(rawTerm) {
    var term = rawTerm.trim();
    if (term.length &lt; 2) { INV.showState('min'); return; }
    var terms = term.split('+').map(function(t){return t.trim();}).filter(Boolean);
    INV.renderTermPills(terms);
    var hi = qs('#headerIcon');
    if (hi) { hi.classList.remove('spin-once'); void hi.offsetWidth; hi.classList.add('spin-once'); }
    var si = qs('#searchIcon');
    if (si) si.classList.add('pulsing');
    var cached = INV.getCache(term);
    if (cached) {
      if (si) si.classList.remove('pulsing');
      INV.renderResults(cached, terms, true);
      var tb = qs('#toolbar'); if (tb) tb.classList.add('visible');
      INV.saveRecent(term);
      APP.updateStats(term, cached.length);
      return;
    }
    INV.showSkeleton(4);
    var toolbar = qs('#toolbar'); if (toolbar) toolbar.classList.add('visible');
    var li = qs('#loadingIndicator'); if (li) li.classList.add('visible');
    var rc = qs('#resultCount'); if (rc) rc.innerHTML = '';
    var rt = qs('#respTime'); if (rt) rt.textContent = '';
    INV.focusedIndex = -1;
    var startTime = Date.now();
    google.script.run
      .withSuccessHandler(function(rows) {
        var elapsed = Date.now() - startTime;
        if (si) si.classList.remove('pulsing');
        if (li) li.classList.remove('visible');
        var results = rows || [];
        INV.setCache(term, results);
        INV.saveRecent(term);
        INV.renderResults(results, terms, false, elapsed);
        APP.updateStats(term, results.length);
        window.location.hash = '#q='+encodeURIComponent(term);
        if (results.length === 1) INV.fireConfetti();
      })
      .withFailureHandler(function(err) {
        if (si) si.classList.remove('pulsing');
        if (li) li.classList.remove('visible');
        INV.showState('err', err &amp;&amp; err.message ? err.message : 'Erro ao buscar.');
        showToast('Erro: '+(err&amp;&amp;err.message?err.message:'falha'), 'err');
      })
      .buscarProdutosWeb(term);
  },
  sortItems: function(items) {
    if (!items || !items.length) return items;
    var copy = items.slice(), s = INV.sortMode;
    if (s==='name-az') copy.sort(function(a,b){return (a.produto||'').localeCompare(b.produto||'');});
    else if (s==='name-za') copy.sort(function(a,b){return (b.produto||'').localeCompare(a.produto||'');});
    else if (s==='box-az') copy.sort(function(a,b){return (a.caixa||'').localeCompare(b.caixa||'');});
    return copy;
  },
  renderResults: function(rows, terms, fromCache, elapsed) {
    INV.lastResults = rows; INV.lastTerms = terms||[]; INV.focusedIndex = -1;
    var sorted = INV.sortItems(rows);
    var toolbar = qs('#toolbar'); if (toolbar) toolbar.classList.add('visible');
    var li = qs('#loadingIndicator'); if (li) li.classList.remove('visible');
    var rc = qs('#resultCount'), rt = qs('#respTime'), rb = qs('#resultBadge'), hs = qs('#heroSub');
    if (!rows || !rows.length) {
      if (rc) rc.innerHTML = '&lt;strong style="color:var(--text-muted)"&gt;0&lt;/strong&gt; resultado';
      if (rt) rt.textContent = elapsed ? elapsed+'ms' : '';
      INV.showState('empty');
      if (hs) hs.textContent = 'Nenhum produto encontrado';
      if (rb) { rb.textContent = '0'; rb.classList.add('visible'); }
      return;
    }
    if (rc) {
      rc.innerHTML = '';
      var span = document.createElement('span'); span.className = 'result-count';
      var bold = document.createElement('strong'); bold.textContent = '0';
      span.appendChild(bold);
      span.appendChild(document.createTextNode(' '+(rows.length===1?'produto':'produtos')));
      if (fromCache) {
        var b = document.createElement('span'); b.className = 'cache-badge'; b.textContent = '⚡ cache'; span.appendChild(b);
      }
      rc.appendChild(span);
      INV.animateCount(bold, rows.length);
    }
    if (rt) rt.textContent = elapsed ? elapsed+'ms' : '';
    if (rb) { rb.textContent = rows.length&gt;99?'99+':rows.length; rb.classList.add('visible'); }
    if (hs) hs.innerHTML = '&lt;strong&gt;'+rows.length+'&lt;/strong&gt; produto'+(rows.length!==1?'s':'')+' encontrado'+(rows.length!==1?'s':'');
    if (INV.viewMode === 'group') {
      INV.renderGroupView(sorted, INV.lastTerms);
    } else {
      var list = INV.buildItemsList(sorted, INV.lastTerms);
      var content = qs('#content');
      if (content) { content.innerHTML = ''; content.appendChild(list); }
    }
  },
  buildItemsList: function(items, terms) {
    var list = document.createElement('div');
    list.className = 'items-list view-'+INV.viewMode;
    var frag = document.createDocumentFragment();
    items.forEach(function(row, i) { frag.appendChild(INV.buildItem(row, terms, i)); });
    list.appendChild(frag);
    return list;
  },
  buildItem: function(row, terms, idx) {
    var el = document.createElement('div');
    el.className = 'item';
    el.setAttribute('tabindex','0');
    el.setAttribute('role','button');
    el.setAttribute('aria-label','Copiar '+(row.produto||''));
    el.style.animationDelay = (idx*40)+'ms';
    el.innerHTML =
      '&lt;div class="item-icon"&gt;&lt;svg viewBox="0 0 24 24"&gt;&lt;path d="M20 7H4a2 2 0 0 0-2 2v6a2 2 0 0 0 2 2h16a2 2 0 0 0 2-2V9a2 2 0 0 0-2-2z"/&gt;&lt;path d="M16 7V5a2 2 0 0 0-2-2h-4a2 2 0 0 0-2 2v2"/&gt;&lt;/svg&gt;&lt;/div&gt;'+
      '&lt;div class="item-info"&gt;'+
        '&lt;div class="produto"&gt;'+highlight(row.produto||'',terms)+'&lt;/div&gt;'+
        '&lt;div class="caixa-badge"&gt;&lt;svg viewBox="0 0 24 24"&gt;&lt;path d="M21 16V8a2 2 0 0 0-1-1.73l-7-4a2 2 0 0 0-2 0l-7 4A2 2 0 0 0 3 8v8a2 2 0 0 0 1 1.73l7 4a2 2 0 0 0 2 0l7-4A2 2 0 0 0 21 16z"/&gt;&lt;/svg&gt;'+escHtml(row.caixa||'Sem caixa')+'&lt;/div&gt;'+
      '&lt;/div&gt;';
    function copyItem() {
      var text = (row.produto||'')+(row.caixa?' | '+row.caixa:'');
      if (navigator.clipboard &amp;&amp; navigator.clipboard.writeText) {
        navigator.clipboard.writeText(text).then(function() {
          el.classList.remove('flash'); void el.offsetWidth; el.classList.add('flash');
          showToast('Copiado: '+(row.produto||''), 'copy');
        }).catch(function(){ showToast('Não foi possível copiar','err'); });
      } else {
        var ta = document.createElement('textarea');
        ta.value = text; ta.style.cssText = 'position:fixed;opacity:0';
        document.body.appendChild(ta); ta.select();
        try { document.execCommand('copy'); showToast('Copiado: '+(row.produto||''),'copy'); }
        catch(e){ showToast('Não foi possível copiar','err'); }
        if (ta.parentNode) ta.parentNode.removeChild(ta);
      }
    }
    el.addEventListener('click', copyItem);
    el.addEventListener('keydown', function(e) {
      if (e.key==='Enter') copyItem();
      if (e.key==='ArrowDown') { e.preventDefault(); INV.moveFocus(1); }
      if (e.key==='ArrowUp')   { e.preventDefault(); INV.moveFocus(-1); }
    });
    return el;
  },
  renderGroupView: function(items, terms) {
    var groups = {};
    items.forEach(function(r) { var k = r.caixa||'Sem caixa'; if(!groups[k]) groups[k]=[]; groups[k].push(r); });
    var content = qs('#content'); if (!content) return;
    content.innerHTML = '';
    var frag = document.createDocumentFragment(), globalIdx = 0;
    Object.keys(groups).sort().forEach(function(caixa) {
      var gi = groups[caixa];
      var section = document.createElement('div'); section.className = 'group-section';
      var header = document.createElement('div'); header.className = 'group-header';
      header.innerHTML = '&lt;span&gt;'+escHtml(caixa)+' &lt;span style="font-weight:400;font-size:11px;opacity:.7"&gt;('+gi.length+')&lt;/span&gt;&lt;/span&gt;&lt;svg class="group-chevron open" viewBox="0 0 24 24"&gt;&lt;polyline points="18 15 12 9 6 15"/&gt;&lt;/svg&gt;';
      var body = document.createElement('div'); body.className = 'group-body';
      var list = document.createElement('div'); list.className = 'items-list view-list';
      var f2 = document.createDocumentFragment();
      gi.forEach(function(r) { f2.appendChild(INV.buildItem(r, terms, globalIdx++)); });
      list.appendChild(f2);
      var collapsed = false;
      header.addEventListener('click', function() {
        collapsed = !collapsed;
        body.style.maxHeight = collapsed?'0':'';
        body.style.overflow  = collapsed?'hidden':'';
        header.querySelector('.group-chevron').classList.toggle('open', !collapsed);
      });
      body.appendChild(list); section.appendChild(header); section.appendChild(body);
      frag.appendChild(section);
    });
    content.appendChild(frag);
  },
  moveFocus: function(dir) {
    var items = qsa('.item'); if (!items.length) return;
    INV.focusedIndex += dir;
    if (INV.focusedIndex &lt; -1) INV.focusedIndex = items.length-1;
    if (INV.focusedIndex &gt;= items.length) INV.focusedIndex = 0;
    if (INV.focusedIndex === -1) {
      var sb = qs('#searchBox'); if (sb) sb.focus();
      items.forEach(function(it){ it.classList.remove('item--focused'); });
    } else {
      items.forEach(function(it,i){ it.classList.toggle('item--focused', i===INV.focusedIndex); });
      items[INV.focusedIndex].focus();
    }
  },
  showState: function(state, msg) {
    var c = qs('#content'); if (!c) return;
    var tpl = {
      hint:  '&lt;div class="state-box state-hint"&gt;&lt;div class="state-icon"&gt;&lt;svg viewBox="0 0 24 24" width="28" height="28" fill="none" stroke="#7986cb" stroke-width="1.6" stroke-linecap="round" stroke-linejoin="round"&gt;&lt;circle cx="11" cy="11" r="7"/&gt;&lt;line x1="21" y1="21" x2="16.65" y2="16.65"/&gt;&lt;/svg&gt;&lt;/div&gt;&lt;div class="state-title"&gt;Busque no inventário&lt;/div&gt;&lt;div class="state-desc"&gt;Digite ao menos 2 caracteres. Use &lt;strong&gt;+&lt;/strong&gt; para combinar termos. Pressione &lt;span class="kbd"&gt;?&lt;/span&gt; para atalhos.&lt;/div&gt;&lt;/div&gt;',
      min:   '&lt;div class="state-box state-min"&gt;&lt;div class="state-icon"&gt;&lt;svg viewBox="0 0 24 24" width="28" height="28" fill="none" stroke="#ccc" stroke-width="1.6" stroke-linecap="round"&gt;&lt;circle cx="11" cy="11" r="7"/&gt;&lt;line x1="21" y1="21" x2="16.65" y2="16.65"/&gt;&lt;/svg&gt;&lt;/div&gt;&lt;div class="state-title"&gt;Continue digitando…&lt;/div&gt;&lt;div class="state-desc"&gt;São necessários ao menos 2 caracteres.&lt;/div&gt;&lt;/div&gt;',
      empty: '&lt;div class="state-box state-empty"&gt;&lt;div class="state-icon"&gt;&lt;svg viewBox="0 0 24 24" width="28" height="28" fill="none" stroke="#ffb300" stroke-width="1.6" stroke-linecap="round"&gt;&lt;circle cx="11" cy="11" r="7"/&gt;&lt;line x1="21" y1="21" x2="16.65" y2="16.65"/&gt;&lt;/svg&gt;&lt;/div&gt;&lt;div class="state-title"&gt;Nenhum produto encontrado&lt;/div&gt;&lt;div class="state-desc"&gt;Tente outros termos ou verifique a ortografia.&lt;/div&gt;&lt;/div&gt;',
      err:   '&lt;div class="state-box state-empty"&gt;&lt;div class="state-icon"&gt;&lt;svg viewBox="0 0 24 24" width="28" height="28" fill="none" stroke="#e53935" stroke-width="1.6" stroke-linecap="round"&gt;&lt;circle cx="12" cy="12" r="9"/&gt;&lt;line x1="12" y1="8" x2="12" y2="12"/&gt;&lt;line x1="12" y1="16" x2="12.01" y2="16"/&gt;&lt;/svg&gt;&lt;/div&gt;&lt;div class="state-title"&gt;Erro na busca&lt;/div&gt;&lt;div class="state-desc"&gt;'+escHtml(msg||'Ocorreu um erro.')+'&lt;/div&gt;&lt;/div&gt;'
    };
    c.innerHTML = tpl[state] || tpl.hint;
  },
  showSkeleton: function(n) {
    var c = qs('#content'); if (!c) return;
    var sk = document.createElement('div'); sk.className = 'skeleton-list';
    var f = document.createDocumentFragment();
    for (var i = 0; i &lt; n; i++) {
      var item = document.createElement('div'); item.className = 'skeleton-item';
      item.innerHTML = '&lt;div class="skel-icon shimmer"&gt;&lt;/div&gt;&lt;div class="skel-body"&gt;&lt;div class="skel-line shimmer" style="width:'+(55+Math.random()*35).toFixed(0)+'%"&gt;&lt;/div&gt;&lt;div class="skel-line short shimmer"&gt;&lt;/div&gt;&lt;/div&gt;';
      f.appendChild(item);
    }
    sk.appendChild(f); c.innerHTML = ''; c.appendChild(sk);
  },
  exportCSV: function() {
    if (!INV.lastResults || !INV.lastResults.length) { showToast('Nada para exportar','err'); return; }
    var rows = [['Produto','Caixa']].concat(INV.lastResults.map(function(r) {
      return ['"'+(r.produto||'').replace(/"/g,'""')+'"', '"'+(r.caixa||'').replace(/"/g,'""')+'"'];
    }));
    var csv = '\uFEFF'+rows.map(function(r){return r.join(',');}).join('\r\n');
    var blob = new Blob([csv],{type:'text/csv;charset=utf-8;'});
    var url = URL.createObjectURL(blob);
    var a = document.createElement('a'); a.href = url; a.download = 'inventario.csv'; a.style.display = 'none';
    document.body.appendChild(a); a.click();
    setTimeout(function(){ if(a.parentNode) a.parentNode.removeChild(a); URL.revokeObjectURL(url); }, 1000);
    showToast('CSV exportado ('+INV.lastResults.length+' itens)','ok');
  },
  shareSearch: function() {
    var sb = qs('#searchBox'), term = sb ? sb.value.trim() : '';
    if (!term) { showToast('Digite um termo para compartilhar','err'); return; }
    var url = window.location.href.split('#')[0]+'#q='+encodeURIComponent(term);
    if (navigator.clipboard &amp;&amp; navigator.clipboard.writeText) {
      navigator.clipboard.writeText(url).then(function(){ showToast('URL copiada','copy'); });
    } else {
      showToast('URL: '+url,'copy');
    }
  },
  animateCount: function(el, target) {
    var start = Date.now(), dur = 500;
    function step() {
      var p = Math.min((Date.now()-start)/dur, 1), ease = 1-Math.pow(1-p,3);
      el.textContent = Math.round(ease*target);
      if (p &lt; 1) requestAnimationFrame(step);
    }
    requestAnimationFrame(step);
  },
  fireConfetti: function() {
    var canvas = qs('#confetti-canvas');
    var W = canvas.width = window.innerWidth, H = canvas.height = window.innerHeight;
    var ctx = canvas.getContext('2d');
    var colors = ['#43a047','#1565c0','#c2185b','#f9a825','#00838f','#6a1b9a'];
    var p = [];
    for (var i = 0; i &lt; 80; i++) {
      p.push({x:Math.random()*W,y:-10-Math.random()*60,r:4+Math.random()*5,d:1.5+Math.random()*2.5,color:colors[Math.floor(Math.random()*colors.length)],ta:0,ts:.1+Math.random()*.1,shape:Math.random()&gt;.5?'rect':'circle'});
    }
    var frame = 0;
    function draw() {
      ctx.clearRect(0,0,W,H);
      p.forEach(function(q){
        q.ta += q.ts; q.y += q.d; q.x += Math.sin(q.ta)*1.2;
        ctx.save(); ctx.translate(q.x,q.y); ctx.rotate(q.ta);
        ctx.fillStyle = q.color; ctx.globalAlpha = Math.max(0,1-q.y/H);
        if (q.shape==='rect'){ ctx.fillRect(-q.r/2,-q.r/2,q.r,q.r*.5); }
        else { ctx.beginPath(); ctx.arc(0,0,q.r/2,0,Math.PI*2); ctx.fill(); }
        ctx.restore();
      });
      if (++frame &lt; 140) requestAnimationFrame(draw); else ctx.clearRect(0,0,W,H);
    }
    draw();
  },
  init: function() {
    var sb = qs('#searchBox');
    if (!sb) return;
    if (!INV._eventsAttached) {
      INV._eventsAttached = true;
      var clearBtn      = qs('#clearBtn');
      var toolbar       = qs('#toolbar');
      var termPillsWrap = qs('#termPillsWrap');
      var resultBadge   = qs('#resultBadge');
      var heroSub       = qs('#heroSub');
      var gs            = qs('#ghostSuggestion');
      sb.addEventListener('input', function() {
        var val = sb.value;
        if (clearBtn) clearBtn.classList.toggle('visible', val.length &gt; 0);
        INV.updateGhostSuggestion(val);
        if (val.length &gt;= 2) {
          INV.triggerSearch(val);
        } else if (val.length === 0) {
          INV.showState('hint');
          if (toolbar) toolbar.classList.remove('visible');
          if (resultBadge) resultBadge.classList.remove('visible');
          if (heroSub) heroSub.textContent = 'Pesquise pelo nome ou código do produto';
          if (termPillsWrap) termPillsWrap.classList.remove('open');
        } else {
          INV.showState('min');
          if (toolbar) toolbar.classList.remove('visible');
        }
      });
      sb.addEventListener('keydown', function(e) {
        if (e.key === 'Tab') {
          var ghost = gs ? gs.textContent : '';
          if (ghost) { e.preventDefault(); sb.value = ghost; if(gs) gs.textContent = ''; INV.triggerSearch(ghost, true); }
        }
        if (e.key === 'ArrowDown') { e.preventDefault(); INV.moveFocus(1); }
        if (e.key === 'Escape') {
          if (sb.value) {
            sb.value = ''; if(clearBtn) clearBtn.classList.remove('visible');
            if(gs) gs.textContent = ''; var gh = qs('#ghostHint'); if(gh) gh.innerHTML = '';
            INV.showState('hint');
            if(toolbar) toolbar.classList.remove('visible');
            if(resultBadge) resultBadge.classList.remove('visible');
            if(termPillsWrap) termPillsWrap.classList.remove('open');
          }
        }
      });
      if (clearBtn) clearBtn.addEventListener('click', function() {
        sb.value = ''; clearBtn.classList.remove('visible');
        if(gs) gs.textContent = ''; var gh = qs('#ghostHint'); if(gh) gh.innerHTML = '';
        INV.showState('hint');
        if(toolbar) toolbar.classList.remove('visible');
        if(resultBadge) resultBadge.classList.remove('visible');
        if(termPillsWrap) termPillsWrap.classList.remove('open');
        sb.focus();
      });
      // View toggles
      var viewBtns = {list:qs('#viewList'), grid:qs('#viewGrid'), group:qs('#viewGroup')};
      Object.keys(viewBtns).forEach(function(k) {
        var btn = viewBtns[k]; if (!btn) return;
        btn.addEventListener('click', function() {
          INV.viewMode = k; localStorage.setItem('inv_view', k);
          Object.keys(viewBtns).forEach(function(j){ if(viewBtns[j]) viewBtns[j].classList.toggle('active', j===k); });
          INV.renderResults(INV.lastResults, INV.lastTerms);
        });
      });
      // Sort
      var sortSel = qs('#sortSelect');
      if (sortSel) sortSel.addEventListener('change', function() {
        INV.sortMode = sortSel.value; localStorage.setItem('inv_sort', INV.sortMode);
        INV.renderResults(INV.lastResults, INV.lastTerms);
      });
      var exportBtn   = qs('#exportBtn');   if (exportBtn)   exportBtn.addEventListener('click', INV.exportCSV);
      var printBtn    = qs('#printBtn');    if (printBtn)    printBtn.addEventListener('click', function(){ window.print(); });
      var shareBtn    = qs('#shareBtn');    if (shareBtn)    shareBtn.addEventListener('click', INV.shareSearch);
      var clearAllBtn = qs('#clearAllBtn'); if (clearAllBtn) clearAllBtn.addEventListener('click', INV.clearAllRecents);
      // Hash search — runs only on first init (deep link support)
      var hash = window.location.hash;
      if (hash &amp;&amp; hash.startsWith('#q=')) {
        var term = decodeURIComponent(hash.slice(3));
        if (term.length &gt;= 2) {
          sb.value = term;
          if (clearBtn) clearBtn.classList.add('visible');
          INV.triggerSearch(term, true);
        }
      }
    }
    // Restore view toggles state every time page becomes active
    var viewBtns2 = {list:qs('#viewList'), grid:qs('#viewGrid'), group:qs('#viewGroup')};
    Object.keys(viewBtns2).forEach(function(k) {
      if (viewBtns2[k]) viewBtns2[k].classList.toggle('active', k === INV.viewMode);
    });
    var sortSel2 = qs('#sortSelect');
    if (sortSel2) sortSel2.value = INV.sortMode;
    INV.renderRecentsChips();
    // Only reset to hint state if no current search
    if (!sb.value) INV.showState('hint');
  },
  destroy: function() { clearTimeout(INV.debounceTimer); }
};
/* ═══════════════════════════════════════════════════════════
   PAGE: VALIDADE
   ═══════════════════════════════════════════════════════════ */
var VAL = {
  data:          null,
  filtered:      [],
  filterQuery:   '',
  filterStatus:  'all',
  sortMode:      localStorage.getItem('val_sort') || 'nearest',
  debounceTimer: null,
  _eventsAttached: false,
  loadData: function(forceRefresh) {
    if (!forceRefresh) {
      try {
        var raw = sessionStorage.getItem('validade_cache');
        if (raw) {
          VAL.data = JSON.parse(raw);
          VAL.updateSummary(); VAL.applyFilters();
          var ld = qs('#valLoading'), gd = qs('#valGrid');
          if (ld) ld.style.display = 'none'; if (gd) gd.style.display = '';
          return;
        }
      } catch(e) {}
    }
    var ld = qs('#valLoading'), gd = qs('#valGrid'), er = qs('#valError');
    if (ld) ld.style.display = ''; if (gd) gd.style.display = 'none'; if (er) er.style.display = 'none';
    google.script.run
      .withSuccessHandler(function(rows) {
        try { sessionStorage.setItem('validade_cache', JSON.stringify(rows||[])); } catch(e) {}
        VAL.data = rows || [];
        if (ld) ld.style.display = 'none'; if (gd) gd.style.display = '';
        VAL.updateSummary(); VAL.applyFilters();
      })
      .withFailureHandler(function(err) {
        if (ld) ld.style.display = 'none';
        if (er) {
          er.style.display = '';
          er.innerHTML = '&lt;div class="state-box state-empty"&gt;&lt;div class="state-icon"&gt;&lt;svg viewBox="0 0 24 24" width="28" height="28" fill="none" stroke="#e53935" stroke-width="1.6" stroke-linecap="round"&gt;&lt;circle cx="12" cy="12" r="9"/&gt;&lt;line x1="12" y1="8" x2="12" y2="12"/&gt;&lt;line x1="12" y1="16" x2="12.01" y2="16"/&gt;&lt;/svg&gt;&lt;/div&gt;&lt;div class="state-title"&gt;Erro ao carregar dados&lt;/div&gt;&lt;div class="state-desc"&gt;'+escHtml(err&amp;&amp;err.message?err.message:'Erro desconhecido.')+'&lt;br&gt;&lt;br&gt;&lt;button class="val-refresh-btn" id="valRetryBtn" style="margin:0 auto"&gt;&lt;svg viewBox="0 0 24 24"&gt;&lt;polyline points="1 4 1 10 7 10"/&gt;&lt;path d="M3.51 15a9 9 0 1 0 .49-3.25"/&gt;&lt;/svg&gt;Tentar novamente&lt;/button&gt;&lt;/div&gt;&lt;/div&gt;';
          var rb = qs('#valRetryBtn'); if (rb) rb.addEventListener('click', function(){ VAL.loadData(true); });
        }
        showToast('Erro ao carregar validades','err');
      })
      .getValidadeData();
  },
  updateSummary: function() {
    if (!VAL.data) return;
    var total   = VAL.data.length;
    var atencao = VAL.data.filter(function(r){ return r.diasRestantes &gt;= 0 &amp;&amp; r.diasRestantes &lt;= 90; }).length;
    var critico = VAL.data.filter(function(r){ return r.diasRestantes &lt; 0; }).length;
    var te = qs('#valSumTotal'), ae = qs('#valSumAtencao'), ce = qs('#valSumCritico');
    if (te) te.textContent = total;
    if (ae) ae.textContent = atencao;
    if (ce) ce.textContent = critico;
  },
  applyFilters: function() {
    if (!VAL.data) return;
    var q = VAL.filterQuery.toLowerCase().trim(), st = VAL.filterStatus;
    var result = VAL.data.filter(function(r) {
      if (q &amp;&amp; q.length &gt;= 2 &amp;&amp; r.produto.toLowerCase().indexOf(q) === -1) return false;
      if (st !== 'all') {
        var s = (r.status||'').toLowerCase();
        if (st==='ok'     &amp;&amp; s !== 'ok') return false;
        if (st==='atencao' &amp;&amp; s.indexOf('aten') === -1) return false;
        if (st==='critico' &amp;&amp; s.indexOf('cr')   === -1) return false;
        if (st==='vencido' &amp;&amp; s !== 'vencido') return false;
      }
      return true;
    });
    var sm = VAL.sortMode;
    result = result.slice().sort(function(a,b) {
      if (sm==='nearest'||sm==='days') return a.diasRestantes - b.diasRestantes;
      if (sm==='farthest') return b.diasRestantes - a.diasRestantes;
      if (sm==='name') return (a.produto||'').localeCompare(b.produto||'');
      return 0;
    });
    VAL.filtered = result;
    VAL.renderCards(); VAL.updateCountBar();
  },
  updateCountBar: function() {
    var el = qs('#valCountBar');
    if (el) el.innerHTML = 'Mostrando &lt;strong&gt;'+VAL.filtered.length+'&lt;/strong&gt; de &lt;strong&gt;'+(VAL.data?VAL.data.length:0)+'&lt;/strong&gt; produtos';
  },
  getDiasClass: function(dias) {
    if (dias &lt; 30) return 'dias-crit';
    if (dias &lt;= 90) return 'dias-warn';
    return 'dias-ok';
  },
  getStatusClass: function(status) {
    var s = (status||'').toLowerCase();
    if (s === 'ok') return 'badge-ok';
    if (s === 'vencido' || s.indexOf('cr') !== -1) return 'badge-crit';
    return 'badge-warn';
  },
  renderCards: function() {
    var grid = qs('#valGrid'); if (!grid) return;
    if (!VAL.filtered.length) {
      grid.innerHTML = '&lt;div class="state-box state-empty" style="grid-column:1/-1"&gt;&lt;div class="state-icon"&gt;&lt;svg viewBox="0 0 24 24" width="28" height="28" fill="none" stroke="#ffb300" stroke-width="1.6" stroke-linecap="round"&gt;&lt;circle cx="11" cy="11" r="7"/&gt;&lt;line x1="21" y1="21" x2="16.65" y2="16.65"/&gt;&lt;/svg&gt;&lt;/div&gt;&lt;div class="state-title"&gt;Nenhum produto encontrado&lt;/div&gt;&lt;div class="state-desc"&gt;Tente outros filtros.&lt;/div&gt;&lt;/div&gt;';
      return;
    }
    var frag = document.createDocumentFragment();
    VAL.filtered.forEach(function(r, i) {
      var card = document.createElement('div'); card.className = 'val-card';
      card.style.animationDelay = Math.min(i*30,300)+'ms';
      var dias = r.diasRestantes;
      var diasClass = VAL.getDiasClass(dias);
      var diasLabel = dias &lt; 0 ? 'Vencido há '+Math.abs(dias)+'d' : dias+'d restantes';
      var badges = '';
      if (r.status) badges += '&lt;span class="badge '+VAL.getStatusClass(r.status)+'"&gt;'+escHtml(r.status)+'&lt;/span&gt;';
      if (r.estoque) {
        var ec = r.estoque.toUpperCase()==='TEMOS' ? 'badge-temos' : 'badge-falta';
        badges += '&lt;span class="badge '+ec+'"&gt;'+escHtml(r.estoque)+'&lt;/span&gt;';
      }
      if (r.precisaProduzir &amp;&amp; r.precisaProduzir.toUpperCase() !== 'NÃO' &amp;&amp; r.precisaProduzir !== '') {
        badges += '&lt;span class="badge badge-produzir"&gt;Produzir: '+escHtml(r.precisaProduzir)+'&lt;/span&gt;';
      }
      var obs = r.observacao ? '&lt;div class="val-obs"&gt;'+escHtml(r.observacao)+'&lt;/div&gt;' : '';
      var loteEta = (r.lote ? 'Lote '+escHtml(r.lote) : '')+(r.lote&amp;&amp;r.etiqueta?' · ':'')+(r.etiqueta ? 'Etiq. '+escHtml(r.etiqueta) : '');
      card.innerHTML =
        '&lt;div class="val-card-header"&gt;'+
          '&lt;div class="val-prod-name"&gt;'+escHtml(r.produto)+'&lt;/div&gt;'+
          '&lt;span class="val-dias-badge '+diasClass+'"&gt;'+escHtml(diasLabel)+'&lt;/span&gt;'+
        '&lt;/div&gt;'+
        '&lt;div class="val-date"&gt;'+escHtml(fmtDate(r.validade)||r.validade)+'&lt;/div&gt;'+
        (loteEta ? '&lt;div class="val-lote-eta"&gt;'+loteEta+'&lt;/div&gt;' : '')+
        (badges  ? '&lt;div class="val-badges"&gt;'+badges+'&lt;/div&gt;' : '')+
        obs;
      frag.appendChild(card);
    });
    grid.innerHTML = ''; grid.appendChild(frag);
  },
  init: function() {
    if (!VAL._eventsAttached) {
      VAL._eventsAttached = true;
      var fi = qs('#valFilterInput');
      if (fi) fi.addEventListener('input', function() {
        clearTimeout(VAL.debounceTimer);
        VAL.debounceTimer = setTimeout(function(){ VAL.filterQuery = fi.value; VAL.applyFilters(); }, 280);
      });
      var ss = qs('#valSortSelect');
      if (ss) {
        ss.value = VAL.sortMode;
        ss.addEventListener('change', function(){
          VAL.sortMode = ss.value; localStorage.setItem('val_sort', VAL.sortMode); VAL.applyFilters();
        });
      }
      var ts = qs('#valStatusSelect');
      if (ts) ts.addEventListener('change', function(){ VAL.filterStatus = ts.value; VAL.applyFilters(); });
      var rb = qs('#valRefreshBtn');
      if (rb) rb.addEventListener('click', function() {
        try { sessionStorage.removeItem('validade_cache'); } catch(e) {}
        VAL.data = null; VAL.loadData(true); showToast('Atualizando dados…','ok');
      });
    }
    VAL.loadData(false);
  },
  destroy: function() { clearTimeout(VAL.debounceTimer); }
};
/* ═══════════════════════════════════════════════════════════
   PAGES
   ═══════════════════════════════════════════════════════════ */
var PAGES = {
  inventario: {
    label:   'Inventário',
    init:    function() { INV.init(); },
    destroy: function() { INV.destroy(); }
  },
  validade: {
    label:   'Validade',
    init:    function() { VAL.init(); },
    destroy: function() { VAL.destroy(); }
  }
};
/* ═══════════════════════════════════════════════════════════
   GLOBAL KEYBOARD SHORTCUTS
   ═══════════════════════════════════════════════════════════ */
document.addEventListener('keydown', function(e) {
  var tag = (e.target||{}).tagName;
  var inInput = tag==='INPUT' || tag==='TEXTAREA' || tag==='SELECT';
  if (e.ctrlKey &amp;&amp; e.key==='d') {
    e.preventDefault();
    APP.applyTheme(APP.theme==='light'?'dark':'light');
    showToast(APP.theme==='dark'?'Tema escuro':'Tema claro','ok');
    return;
  }
  if (e.ctrlKey &amp;&amp; e.key==='e') {
    e.preventDefault();
    if (ROUTER.currentPage==='inventario') INV.exportCSV();
    return;
  }
  if (!inInput &amp;&amp; e.key==='1') { ROUTER.navigate('inventario'); return; }
  if (!inInput &amp;&amp; e.key==='2') { ROUTER.navigate('validade');   return; }
  if (!inInput &amp;&amp; e.key==='?') { e.preventDefault(); SHORTCUTS.open(); return; }
  if (!inInput &amp;&amp; e.key==='/') {
    e.preventDefault();
    if (ROUTER.currentPage !== 'inventario') { ROUTER.navigate('inventario'); return; }
    var sb = qs('#searchBox'); if (sb) sb.focus();
    return;
  }
  if (e.key === 'Escape') {
    if (SHORTCUTS.isOpen()) { SHORTCUTS.close(); return; }
    if (SIDEBAR.isOpen)     { SIDEBAR.close();    return; }
  }
  if (!inInput &amp;&amp; e.key==='ArrowUp' &amp;&amp; ROUTER.currentPage==='inventario') {
    e.preventDefault(); INV.moveFocus(-1);
  }
});
/* ═══════════════════════════════════════════════════════════
   INIT
   ═══════════════════════════════════════════════════════════ */
APP.applyTheme(APP.theme);
APP.applyDensity(APP.density);
APP.applyHC(APP.hc);
SIDEBAR.init();
var initHash = window.location.hash;
var initPage = 'inventario';
if (initHash === '#validade') initPage = 'validade';
ROUTER.init();
})();
&lt;/script&gt;</t>
  </si>
  <si>
    <t>https://claude.ai/code/session_0155h9VngJ9kWP2hvWu916a6</t>
  </si>
  <si>
    <t>&lt;!DOCTYPE html&gt;
&lt;html lang="pt-BR"&gt;
&lt;head&gt;
  &lt;meta charset="UTF-8" /&gt;
  &lt;meta name="viewport" content="width=device-width, initial-scale=1.0" /&gt;
  &lt;title&gt;Busca de Inventário&lt;/title&gt;
  &lt;style&gt;
    :root {
      --bg: #f4f1e8;
      --bg-soft: #faf8f3;
      --panel: rgba(255,255,255,0.78);
      --panel-strong: #ffffff;
      --text: #1f2b22;
      --muted: #738076;
      --line: #dde4db;
      --primary: #1f5a34;
      --primary-2: #2f7a47;
      --primary-soft: #ebf4ee;
      --gold: #b28a52;
      --shadow-lg: 0 24px 55px rgba(30, 42, 34, 0.10);
      --shadow-md: 0 12px 28px rgba(30, 42, 34, 0.07);
      --radius-xl: 26px;
      --radius-lg: 20px;
      --radius-md: 16px;
      --radius-sm: 12px;
      --transition: 0.22s ease;
    }
    * {
      box-sizing: border-box;
    }
    html, body {
      margin: 0;
      padding: 0;
      min-height: 100%;
      font-family: "Segoe UI", Inter, Arial, sans-serif;
      color: var(--text);
      background:
        radial-gradient(circle at top left, rgba(255,255,255,0.95), transparent 32%),
        linear-gradient(180deg, #f8f6f0 0%, #f1eee5 100%);
    }
    body {
      padding: 28px;
    }
    .dashboard {
      width: 100%;
      max-width: 1280px;
      margin: 0 auto;
    }
    .shell {
      background: var(--panel);
      backdrop-filter: blur(12px);
      border: 1px solid rgba(255,255,255,0.8);
      border-radius: var(--radius-xl);
      box-shadow: var(--shadow-lg);
      overflow: hidden;
    }
    .hero {
      position: relative;
      padding: 28px 30px 24px;
      background:
        linear-gradient(135deg, rgba(31,90,52,0.10), rgba(178,138,82,0.07)),
        linear-gradient(180deg, rgba(255,255,255,0.92), rgba(255,255,255,0.74));
      border-bottom: 1px solid rgba(31, 90, 52, 0.08);
    }
    .hero::after {
      content: "";
      position: absolute;
      right: -80px;
      top: -80px;
      width: 220px;
      height: 220px;
      border-radius: 50%;
      background: radial-gradient(circle, rgba(178,138,82,0.12), transparent 70%);
      pointer-events: none;
    }
    .eyebrow {
      display: inline-flex;
      align-items: center;
      gap: 10px;
      margin-bottom: 12px;
      font-size: 12px;
      letter-spacing: 0.14em;
      text-transform: uppercase;
      color: var(--primary);
      font-weight: 800;
    }
    .eyebrow-dot {
      width: 8px;
      height: 8px;
      border-radius: 999px;
      background: linear-gradient(135deg, var(--primary), var(--gold));
      box-shadow: 0 0 0 6px rgba(31,90,52,0.08);
    }
    .hero-top {
      display: flex;
      align-items: flex-end;
      justify-content: space-between;
      gap: 18px;
      flex-wrap: wrap;
    }
    .hero-copy h1 {
      margin: 0;
      font-size: clamp(28px, 4vw, 42px);
      line-height: 1.05;
      letter-spacing: -0.03em;
      color: #21422b;
    }
    .hero-copy p {
      margin: 12px 0 0;
      max-width: 760px;
      font-size: 15px;
      line-height: 1.7;
      color: var(--muted);
    }
    .hero-badge {
      display: inline-flex;
      align-items: center;
      gap: 10px;
      padding: 12px 16px;
      border-radius: 999px;
      background: rgba(255,255,255,0.82);
      border: 1px solid rgba(31,90,52,0.08);
      color: var(--primary);
      font-size: 13px;
      font-weight: 700;
      box-shadow: var(--shadow-md);
      white-space: nowrap;
    }
    .search-wrap {
      padding: 22px 30px 18px;
      background: rgba(255,255,255,0.54);
      border-bottom: 1px solid rgba(31, 90, 52, 0.06);
    }
    .search-bar {
      display: grid;
      grid-template-columns: 1fr auto;
      gap: 14px;
      align-items: stretch;
    }
    .input-wrap {
      position: relative;
    }
    .input-icon {
      position: absolute;
      left: 18px;
      top: 50%;
      transform: translateY(-50%);
      width: 20px;
      height: 20px;
      color: #7a867d;
      pointer-events: none;
    }
    .search-input {
      width: 100%;
      height: 64px;
      border: 1px solid var(--line);
      border-radius: 20px;
      background: rgba(255,255,255,0.96);
      padding: 0 18px 0 52px;
      font-size: 18px;
      color: var(--text);
      outline: none;
      transition: border-color var(--transition), box-shadow var(--transition), transform var(--transition);
      box-shadow: inset 0 1px 0 rgba(255,255,255,0.8);
    }
    .search-input::placeholder {
      color: #8b958d;
    }
    .search-input:focus {
      border-color: rgba(31,90,52,0.35);
      box-shadow: 0 0 0 5px rgba(31,90,52,0.10);
    }
    .search-btn {
      min-width: 170px;
      height: 64px;
      border: none;
      border-radius: 20px;
      background: linear-gradient(180deg, #2e7444 0%, #194d2b 100%);
      color: #fff;
      font-size: 16px;
      font-weight: 800;
      cursor: pointer;
      transition: transform var(--transition), box-shadow var(--transition), opacity var(--transition);
      box-shadow: 0 18px 30px rgba(31,90,52,0.20);
    }
    .search-btn:hover {
      transform: translateY(-1px);
      box-shadow: 0 22px 34px rgba(31,90,52,0.24);
    }
    .search-btn:disabled {
      opacity: 0.75;
      cursor: wait;
    }
    .chips {
      display: flex;
      flex-wrap: wrap;
      gap: 10px;
      margin-top: 16px;
    }
    .chip {
      border: 1px solid rgba(31,90,52,0.12);
      background: rgba(255,255,255,0.86);
      color: #23492d;
      padding: 10px 14px;
      border-radius: 999px;
      font-size: 14px;
      font-weight: 700;
      cursor: pointer;
      transition: background var(--transition), border-color var(--transition), transform var(--transition);
    }
    .chip:hover {
      background: var(--primary-soft);
      border-color: rgba(31,90,52,0.22);
      transform: translateY(-1px);
    }
    .content {
      padding: 20px 30px 28px;
    }
    .meta {
      display: flex;
      align-items: center;
      justify-content: space-between;
      gap: 12px;
      flex-wrap: wrap;
      margin-bottom: 18px;
    }
    .meta-left {
      display: flex;
      align-items: center;
      gap: 10px;
      flex-wrap: wrap;
    }
    .status-text {
      font-size: 14px;
      color: var(--muted);
    }
    .results-count {
      display: none;
      padding: 9px 13px;
      border-radius: 999px;
      background: var(--primary-soft);
      color: var(--primary);
      font-size: 13px;
      font-weight: 800;
    }
    .results-count.show {
      display: inline-flex;
      align-items: center;
    }
    .results-list {
      display: flex;
      flex-direction: column;
      gap: 14px;
    }
    .result-row {
      display: grid;
      grid-template-columns: minmax(0, 2fr) minmax(180px, 0.95fr) minmax(150px, 0.85fr);
      gap: 16px;
      align-items: center;
      background: rgba(255,255,255,0.94);
      border: 1px solid rgba(31,90,52,0.10);
      border-radius: 22px;
      padding: 18px 20px;
      box-shadow: var(--shadow-md);
      transition: transform var(--transition), box-shadow var(--transition), border-color var(--transition);
      position: relative;
      overflow: hidden;
    }
    .result-row::before {
      content: "";
      position: absolute;
      left: 0;
      top: 14px;
      bottom: 14px;
      width: 5px;
      border-radius: 999px;
      background: linear-gradient(180deg, var(--primary), var(--gold));
    }
    .result-row:hover {
      transform: translateY(-2px);
      box-shadow: 0 16px 34px rgba(30, 42, 34, 0.09);
      border-color: rgba(31,90,52,0.18);
    }
    .product-col {
      min-width: 0;
      padding-left: 8px;
    }
    .kicker {
      font-size: 11px;
      letter-spacing: 0.12em;
      text-transform: uppercase;
      color: #88938c;
      font-weight: 800;
      margin-bottom: 6px;
    }
    .product-name {
      font-size: 22px;
      line-height: 1.3;
      font-weight: 800;
      color: #1b2b20;
      word-break: break-word;
    }
    .product-sub {
      margin-top: 6px;
      font-size: 14px;
      color: var(--muted);
    }
    .info-box {
      display: flex;
      flex-direction: column;
      gap: 6px;
      min-width: 0;
    }
    .info-label {
      font-size: 11px;
      letter-spacing: 0.10em;
      text-transform: uppercase;
      color: #8a948d;
      font-weight: 800;
    }
    .info-value {
      font-size: 16px;
      font-weight: 800;
      color: #23402b;
      word-break: break-word;
    }
    .location-pill {
      display: inline-flex;
      align-items: center;
      gap: 8px;
      align-self: flex-start;
      padding: 10px 14px;
      border-radius: 999px;
      background: #f4f8f5;
      border: 1px solid rgba(31,90,52,0.10);
      color: var(--primary);
      font-size: 14px;
      font-weight: 800;
      max-width: 100%;
    }
    .status-box {
      display: flex;
      justify-content: flex-end;
    }
    .status-pill {
      display: inline-flex;
      align-items: center;
      justify-content: center;
      min-height: 44px;
      padding: 10px 14px;
      border-radius: 999px;
      background: linear-gradient(180deg, #edf7f0 0%, #e6f3ea 100%);
      color: #24623a;
      border: 1px solid rgba(31,90,52,0.10);
      font-size: 14px;
      font-weight: 800;
      text-align: center;
    }
    .state {
      border: 1px dashed rgba(31,90,52,0.16);
      background: linear-gradient(180deg, rgba(255,255,255,0.95), rgba(250,248,243,0.98));
      border-radius: 24px;
      padding: 44px 24px;
      text-align: center;
      color: var(--muted);
    }
    .state-icon {
      width: 68px;
      height: 68px;
      margin: 0 auto 16px;
      border-radius: 20px;
      display: grid;
      place-items: center;
      background: linear-gradient(135deg, rgba(31,90,52,0.10), rgba(178,138,82,0.12));
      color: var(--primary);
    }
    .state-title {
      font-size: 24px;
      font-weight: 800;
      color: var(--text);
      margin-bottom: 10px;
      letter-spacing: -0.02em;
    }
    .state-desc {
      max-width: 620px;
      margin: 0 auto;
      font-size: 15px;
      line-height: 1.7;
    }
    .empty-note {
      margin-top: 10px;
      font-size: 13px;
      color: #8b948e;
    }
    .loading-row {
      display: flex;
      align-items: center;
      justify-content: center;
      gap: 12px;
      padding: 22px 12px;
      color: var(--muted);
      font-size: 15px;
      font-weight: 700;
    }
    .spinner {
      width: 18px;
      height: 18px;
      border-radius: 50%;
      border: 2px solid rgba(31,90,52,0.18);
      border-top-color: var(--primary);
      animation: spin 0.85s linear infinite;
    }
    @keyframes spin {
      to { transform: rotate(360deg); }
    }
    .footer-note {
      margin-top: 16px;
      font-size: 13px;
      color: #8d948f;
      text-align: center;
    }
    @media (max-width: 980px) {
      .result-row {
        grid-template-columns: minmax(0, 1.7fr) minmax(160px, 1fr);
      }
      .status-box {
        justify-content: flex-start;
      }
      .result-row .status-box {
        grid-column: 1 / -1;
      }
    }
    @media (max-width: 760px) {
      body {
        padding: 14px;
      }
      .hero,
      .search-wrap,
      .content {
        padding-left: 16px;
        padding-right: 16px;
      }
      .hero {
        padding-top: 22px;
        padding-bottom: 20px;
      }
      .search-bar {
        grid-template-columns: 1fr;
      }
      .search-btn {
        width: 100%;
        min-width: 0;
      }
      .search-input {
        height: 58px;
        font-size: 16px;
      }
      .search-btn {
        height: 56px;
        border-radius: 16px;
      }
      .result-row {
        grid-template-columns: 1fr;
        gap: 14px;
        padding: 16px 16px 16px 18px;
        border-radius: 18px;
      }
      .product-name {
        font-size: 19px;
      }
      .location-pill,
      .status-pill {
        font-size: 13px;
      }
      .state {
        padding: 32px 18px;
      }
      .state-title {
        font-size: 21px;
      }
    }
  &lt;/style&gt;
&lt;/head&gt;
&lt;body&gt;
  &lt;main class="dashboard"&gt;
    &lt;section class="shell"&gt;
      &lt;div class="hero"&gt;
        &lt;div class="eyebrow"&gt;
          &lt;span class="eyebrow-dot"&gt;&lt;/span&gt;
          Painel de inventário
        &lt;/div&gt;
        &lt;div class="hero-top"&gt;
          &lt;div class="hero-copy"&gt;
            &lt;h1&gt;Busca de Inventário&lt;/h1&gt;
            &lt;p&gt;
              Localize rapidamente os produtos disponíveis e visualize a posição de cada item em uma lista mais limpa, elegante e fácil de consultar.
            &lt;/p&gt;
          &lt;/div&gt;
          &lt;div class="hero-badge"&gt;Consulta rápida do estoque&lt;/div&gt;
        &lt;/div&gt;
      &lt;/div&gt;
      &lt;div class="search-wrap"&gt;
        &lt;form class="search-bar" onsubmit="buscar(event)"&gt;
          &lt;div class="input-wrap"&gt;
            &lt;svg class="input-icon" viewBox="0 0 24 24" fill="none" aria-hidden="true"&gt;
              &lt;path d="M21 21L16.65 16.65M18 11C18 14.866 14.866 18 11 18C7.13401 18 4 14.866 4 11C4 7.13401 7.13401 4 11 4C14.866 4 18 7.13401 18 11Z"
                    stroke="currentColor" stroke-width="2" stroke-linecap="round" stroke-linejoin="round"/&gt;
            &lt;/svg&gt;
            &lt;input
              id="termoBusca"
              class="search-input"
              type="text"
              placeholder="Busque por produto... Ex: mirra + roll on"
              autocomplete="off"
              oninput="agendarBusca()"
            /&gt;
          &lt;/div&gt;
          &lt;button id="searchBtn" class="search-btn" type="submit"&gt;Buscar&lt;/button&gt;
        &lt;/form&gt;
        &lt;div class="chips"&gt;
          &lt;button class="chip" type="button" onclick="buscarSugestao('mirra')"&gt;mirra&lt;/button&gt;
          &lt;button class="chip" type="button" onclick="buscarSugestao('roll on')"&gt;roll on&lt;/button&gt;
          &lt;button class="chip" type="button" onclick="buscarSugestao('lavanda')"&gt;lavanda&lt;/button&gt;
          &lt;button class="chip" type="button" onclick="buscarSugestao('patchouli')"&gt;patchouli&lt;/button&gt;
          &lt;button class="chip" type="button" onclick="buscarSugestao('alecrim')"&gt;alecrim&lt;/button&gt;
        &lt;/div&gt;
      &lt;/div&gt;
      &lt;div class="content"&gt;
        &lt;div class="meta"&gt;
          &lt;div class="meta-left"&gt;
            &lt;div id="statusText" class="status-text"&gt;Digite um termo para iniciar a busca.&lt;/div&gt;
            &lt;div id="resultsCount" class="results-count"&gt;&lt;/div&gt;
          &lt;/div&gt;
        &lt;/div&gt;
        &lt;div id="resultado"&gt;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Você também pode combinar palavras com o sinal &lt;strong&gt;+&lt;/strong&gt;.
            &lt;/p&gt;
            &lt;div class="empty-note"&gt;Exemplo: &lt;strong&gt;ylang + roll on&lt;/strong&gt;&lt;/div&gt;
          &lt;/div&gt;
        &lt;/div&gt;
        &lt;div class="footer-note"&gt;Visual premium em lista horizontal, com adaptação automática para celular.&lt;/div&gt;
      &lt;/div&gt;
    &lt;/section&gt;
  &lt;/main&gt;
  &lt;script&gt;
    let debounceTimer = null;
    let buscando = false;
    function agendarBusca() {
      clearTimeout(debounceTimer);
      debounceTimer = setTimeout(() =&gt; {
        const termo = document.getElementById("termoBusca").value.trim();
        if (!termo) {
          mostrarEstadoInicial();
          return;
        }
        buscar();
      }, 320);
    }
    function buscarSugestao(valor) {
      const input = document.getElementById("termoBusca");
      input.value = valor;
      input.focus();
      buscar();
    }
    function buscar(event) {
      if (event) event.preventDefault();
      const termo = document.getElementById("termoBusca").value.trim();
      if (!termo) {
        mostrarEstadoInicial();
        return;
      }
      if (buscando) return;
      buscando = true;
      atualizarBotao(true);
      mostrarLoading();
      atualizarStatus("Buscando no inventário...");
      google.script.run
        .withSuccessHandler(function(resultados) {
          buscando = false;
          atualizarBotao(false);
          renderizarResultados(Array.isArray(resultados) ? resultados : [], termo);
        })
        .withFailureHandler(function(erro) {
          buscando = false;
          atualizarBotao(false);
          mostrarErro(erro);
        })
        .buscarProdutosWeb(termo);
    }
    function atualizarBotao(carregando) {
      const btn = document.getElementById("searchBtn");
      btn.disabled = carregando;
      btn.textContent = carregando ? "Buscando..." : "Buscar";
    }
    function atualizarStatus(texto) {
      document.getElementById("statusText").textContent = texto;
    }
    function mostrarLoading() {
      document.getElementById("resultsCount").classList.remove("show");
      document.getElementById("resultado").innerHTML = `
        &lt;div class="loading-row"&gt;
          &lt;span class="spinner"&gt;&lt;/span&gt;
          Consultando produtos disponíveis...
        &lt;/div&gt;
      `;
    }
    function mostrarEstadoInicial() {
      atualizarStatus("Digite um termo para iniciar a busca.");
      document.getElementById("resultsCount").classList.remove("show");
      document.getElementById("resultado").innerHTML = `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Você também pode combinar palavras com o sinal &lt;strong&gt;+&lt;/strong&gt;.
          &lt;/p&gt;
          &lt;div class="empty-note"&gt;Exemplo: &lt;strong&gt;ylang + roll on&lt;/strong&gt;&lt;/div&gt;
        &lt;/div&gt;
      `;
    }
    function renderizarResultados(resultados, termo) {
      const resultsCount = document.getElementById("resultsCount");
      if (!resultados.length) {
        atualizarStatus(`Nenhum resultado encontrado para "${termo}".`);
        resultsCount.classList.remove("show");
        document.getElementById("resultado").innerHTML = `
          &lt;div class="state"&gt;
            &lt;div class="state-icon"&gt;
              &lt;svg width="28" height="28" viewBox="0 0 24 24" fill="none" aria-hidden="true"&gt;
                &lt;path d="M10.5 18C14.6421 18 18 14.6421 18 10.5C18 6.35786 14.6421 3 10.5 3C6.35786 3 3 6.35786 3 10.5C3 14.6421 6.35786 18 10.5 18Z"
                      stroke="currentColor" stroke-width="1.8" stroke-linecap="round" stroke-linejoin="round"/&gt;
                &lt;path d="M21 21L15.8 15.8"
                      stroke="currentColor" stroke-width="1.8" stroke-linecap="round" stroke-linejoin="round"/&gt;
              &lt;/svg&gt;
            &lt;/div&gt;
            &lt;div class="state-title"&gt;Nenhum produto encontrado&lt;/div&gt;
            &lt;p class="state-desc"&gt;
              Tente usar menos palavras ou termos mais amplos. Você também pode combinar palavras com &lt;strong&gt;+&lt;/strong&gt;.
            &lt;/p&gt;
            &lt;div class="empty-note"&gt;Exemplo: &lt;strong&gt;lavanda&lt;/strong&gt; ou &lt;strong&gt;ylang + roll on&lt;/strong&gt;&lt;/div&gt;
          &lt;/div&gt;
        `;
        return;
      }
      atualizarStatus(`Busca concluída para "${termo}".`);
      resultsCount.textContent = `${resultados.length} resultado${resultados.length &gt; 1 ? "s" : ""}`;
      resultsCount.classList.add("show");
      const lista = resultados.map(item =&gt; {
        const produto = escapeHtml(item.produto || "Produto sem nome");
        const caixaOriginal = item.caixa || "-";
        const caixaLimpa = escapeHtml(normalizarCaixa(caixaOriginal));
        return `
          &lt;article class="result-row"&gt;
            &lt;div class="product-col"&gt;
              &lt;div class="kicker"&gt;Produto encontrado&lt;/div&gt;
              &lt;div class="product-name"&gt;${produto}&lt;/div&gt;
              &lt;div class="product-sub"&gt;Disponível no inventário&lt;/div&gt;
            &lt;/div&gt;
            &lt;div class="info-box"&gt;
              &lt;div class="info-label"&gt;Localização&lt;/div&gt;
              &lt;div class="location-pill"&gt;${caixaLimpa}&lt;/div&gt;
            &lt;/div&gt;
            &lt;div class="status-box"&gt;
              &lt;div class="status-pill"&gt;Disponível&lt;/div&gt;
            &lt;/div&gt;
          &lt;/article&gt;
        `;
      }).join("");
      document.getElementById("resultado").innerHTML = `
        &lt;div class="results-list"&gt;
          ${lista}
        &lt;/div&gt;
      `;
    }
    function normalizarCaixa(valor) {
      let texto = String(valor || "").trim();
      texto = texto.replace(/^caixa\s+/i, "");
      texto = texto.replace(/\s+/g, " ").trim();
      return texto || "-";
    }
    function mostrarErro(erro) {
      atualizarStatus("Ocorreu um erro ao consultar o inventário.");
      document.getElementById("resultsCount").classList.remove("show");
      const mensagem = erro &amp;&amp; erro.message ? erro.message : "Não foi possível concluir a busca.";
      document.getElementById("resultado").innerHTML = `
        &lt;div class="state"&gt;
          &lt;div class="state-icon"&gt;
            &lt;svg width="28" height="28" viewBox="0 0 24 24" fill="none" aria-hidden="true"&gt;
              &lt;path d="M12 9V13M12 17H12.01M10.29 3.86L1.82 18C1.64539 18.3024 1.55372 18.6456 1.55402 18.995C1.55433 19.3444 1.6466 19.6875 1.82174 19.9896C1.99688 20.2917 2.24867 20.5423 2.55155 20.7161C2.85443 20.8899 3.1979 20.9808 3.547 20.98H20.453C20.8021 20.9808 21.1456 20.8899 21.4485 20.7161C21.7513 20.5423 22.0031 20.2917 22.1783 19.9896C22.3534 19.6875 22.4457 19.3444 22.446 18.995C22.4463 18.6456 22.3546 18.3024 22.18 18L13.71 3.86C13.5342 3.56611 13.2857 3.32291 12.9886 3.15342C12.6915 2.98392 12.3557 2.8938 12.0135 2.8916C11.6714 2.88939 11.3344 2.97519 11.0351 3.14084C10.7359 3.30649 10.4843 3.54647 10.305 3.838L10.29 3.86Z"
                    stroke="currentColor" stroke-width="1.7" stroke-linecap="round" stroke-linejoin="round"/&gt;
            &lt;/svg&gt;
          &lt;/div&gt;
          &lt;div class="state-title"&gt;Erro na consulta&lt;/div&gt;
          &lt;p class="state-desc"&gt;${escapeHtml(mensagem)}&lt;/p&gt;
        &lt;/div&gt;
      `;
    }
    function escapeHtml(text) {
      return String(text)
        .replace(/&amp;/g, "&amp;amp;")
        .replace(/&lt;/g, "&amp;lt;")
        .replace(/&gt;/g, "&amp;gt;")
        .replace(/"/g, "&amp;quot;")
        .replace(/'/g, "&amp;#039;");
    }
  &lt;/script&gt;
&lt;/body&gt;
&lt;/html&gt;</t>
  </si>
  <si>
    <t>&lt;!DOCTYPE html&gt;
&lt;html lang="pt-BR"&gt;
&lt;head&gt;
  &lt;meta charset="UTF-8"&gt;
  &lt;base target="_top"&gt;
  &lt;style&gt;
    *, *::before, *::after { box-sizing: border-box; margin: 0; padding: 0; }
    body {
      background: #f0f2f5;
      font-family: -apple-system, BlinkMacSystemFont, "Segoe UI", Roboto, Arial, sans-serif;
      color: #333;
      min-height: 100vh;
      display: flex;
      justify-content: center;
      align-items: flex-start;
      padding: 48px 16px 60px;
    }
    .container { width: 100%; max-width: 640px; }
    /* Card */
    .card {
      background: #fff;
      border-radius: 20px;
      box-shadow: 0 4px 24px rgba(0,0,0,0.08), 0 1px 4px rgba(0,0,0,0.04);
      padding: 28px 24px 24px;
    }
    /* Header */
    .header {
      display: flex;
      align-items: center;
      gap: 14px;
      margin-bottom: 24px;
    }
    .header-icon {
      width: 44px; height: 44px;
      background: linear-gradient(135deg, #2e7d32, #43a047);
      border-radius: 12px;
      display: flex; align-items: center; justify-content: center;
      flex-shrink: 0;
      box-shadow: 0 2px 8px rgba(46,125,50,0.3);
    }
    .header-icon svg {
      width: 22px; height: 22px;
      fill: none; stroke: #fff;
      stroke-width: 1.8; stroke-linecap: round; stroke-linejoin: round;
    }
    .title { font-size: 21px; font-weight: 700; color: #1b5e20; letter-spacing: -0.3px; }
    .subtitle { font-size: 12.5px; color: #999; margin-top: 3px; }
    .kbd {
      display: inline-flex; align-items: center;
      background: #f5f5f5; border: 1px solid #d8d8d8; border-bottom-width: 2px;
      border-radius: 4px; padding: 1px 6px;
      font-size: 11px; font-family: monospace; color: #555; line-height: 1.6;
    }
    /* Search */
    .search-wrapper { position: relative; margin-bottom: 12px; }
    .search-icon {
      position: absolute; left: 15px; top: 50%; transform: translateY(-50%);
      width: 17px; height: 17px; pointer-events: none; color: #bbb;
    }
    .search-box {
      width: 100%;
      padding: 14px 44px 14px 44px;
      font-size: 15px;
      border-radius: 12px;
      border: 1.5px solid #e2e2e2;
      outline: none;
      transition: border-color 0.2s, box-shadow 0.2s;
      background: #f7f8fa;
      color: #222;
    }
    .search-box::placeholder { color: #c0c0c0; }
    .search-box:focus {
      background: #fff;
      border-color: #43a047;
      box-shadow: 0 0 0 3px rgba(67,160,71,0.14);
    }
    .clear-btn {
      position: absolute; right: 12px; top: 50%; transform: translateY(-50%);
      background: #e8e8e8; border: none; cursor: pointer; color: #888;
      width: 24px; height: 24px; border-radius: 50%;
      display: none; align-items: center; justify-content: center;
      transition: background 0.15s, color 0.15s;
    }
    .clear-btn:hover { background: #d8d8d8; color: #444; }
    .clear-btn.visible { display: flex; }
    /* Recent chips */
    .recents-wrap { margin-bottom: 16px; min-height: 0; }
    .recents-label {
      font-size: 11px; color: #bbb; font-weight: 500; letter-spacing: 0.3px;
      text-transform: uppercase; margin-bottom: 7px;
    }
    .recents {
      display: flex; flex-wrap: wrap; gap: 6px;
    }
    .chip {
      display: inline-flex; align-items: center; gap: 5px;
      background: #f1f8f1; border: 1px solid #c8e6c9;
      border-radius: 20px; padding: 4px 8px 4px 8px;
      font-size: 12px; color: #2e7d32;
      cursor: pointer; transition: background 0.15s, border-color 0.15s;
      line-height: 1;
    }
    .chip:hover { background: #e0f2e1; border-color: #a5d6a7; }
    .chip-icon { flex-shrink: 0; opacity: 0.6; }
    .chip-text { max-width: 140px; overflow: hidden; text-overflow: ellipsis; white-space: nowrap; }
    .chip-remove {
      background: none; border: none; cursor: pointer;
      color: #81c784; padding: 0; margin-left: 1px;
      display: flex; align-items: center;
      border-radius: 50%; width: 14px; height: 14px;
      justify-content: center;
      transition: color 0.15s, background 0.15s;
      flex-shrink: 0;
    }
    .chip-remove:hover { color: #2e7d32; background: rgba(46,125,50,0.1); }
    /* Status bar */
    .status-bar {
      display: flex; align-items: center; justify-content: space-between;
      min-height: 20px; margin-bottom: 12px; padding: 0 2px;
    }
    .result-count { font-size: 12.5px; color: #aaa; }
    .result-count strong { color: #43a047; font-weight: 600; }
    .loading { display: none; align-items: center; gap: 7px; font-size: 12.5px; color: #aaa; }
    .loading.visible { display: flex; }
    .spinner {
      width: 13px; height: 13px;
      border: 2px solid #e0e0e0; border-top-color: #43a047;
      border-radius: 50%; animation: spin 0.65s linear infinite; flex-shrink: 0;
    }
    @keyframes spin { to { transform: rotate(360deg); } }
    /* Results */
    .results { display: flex; flex-direction: column; gap: 7px; }
    .item {
      padding: 12px 14px;
      border-radius: 10px;
      background: #f9fafb;
      border: 1.5px solid #ebebeb;
      display: flex; align-items: center; gap: 12px;
      transition: border-color 0.15s, box-shadow 0.15s, transform 0.15s;
      animation: slideIn 0.18s ease both;
    }
    @keyframes slideIn {
      from { opacity: 0; transform: translateY(6px); }
      to   { opacity: 1; transform: translateY(0); }
    }
    .item:hover {
      border-color: #a5d6a7;
      box-shadow: 0 3px 10px rgba(46,125,50,0.1);
      transform: translateY(-1px);
    }
    .item-icon {
      width: 34px; height: 34px;
      background: #e8f5e9; border-radius: 8px;
      display: flex; align-items: center; justify-content: center; flex-shrink: 0;
    }
    .item-icon svg {
      width: 16px; height: 16px;
      stroke: #2e7d32; fill: none;
      stroke-width: 1.8; stroke-linecap: round; stroke-linejoin: round;
    }
    .item-info { flex: 1; min-width: 0; }
    .produto {
      font-size: 14.5px; font-weight: 500; color: #1a1a1a;
      white-space: nowrap; overflow: hidden; text-overflow: ellipsis;
    }
    .produto mark {
      background: #fff59d; color: inherit;
      border-radius: 2px; padding: 0 1px; font-weight: 600;
    }
    .caixa-badge {
      display: inline-flex; align-items: center; gap: 4px;
      background: #f1f8f1; color: #388e3c;
      border-radius: 5px; padding: 2px 8px;
      font-size: 11.5px; font-weight: 500; margin-top: 4px;
    }
    .caixa-badge svg {
      width: 11px; height: 11px;
      stroke: #388e3c; fill: none;
      stroke-width: 2; stroke-linecap: round; stroke-linejoin: round;
    }
    /* States */
    .empty, .hint {
      padding: 40px 20px;
      text-align: center;
    }
    .state-icon {
      margin: 0 auto 14px;
      width: 52px; height: 52px;
      background: #f5f5f5; border-radius: 14px;
      display: flex; align-items: center; justify-content: center;
    }
    .state-icon svg {
      width: 26px; height: 26px;
      stroke: #ccc; fill: none;
      stroke-width: 1.6; stroke-linecap: round; stroke-linejoin: round;
    }
    .state-title { font-size: 14px; font-weight: 500; color: #bbb; margin-bottom: 4px; }
    .state-sub { font-size: 12.5px; color: #ccc; }
    /* Error */
    .error {
      padding: 14px 16px;
      background: #fff5f5; border: 1.5px solid #ffcdd2;
      border-radius: 10px; color: #c62828;
      font-size: 13.5px;
      display: flex; align-items: flex-start; gap: 10px;
    }
    .error svg { flex-shrink: 0; margin-top: 1px; }
    /* Min chars hint */
    .min-chars {
      text-align: center; font-size: 12.5px; color: #ccc; padding: 32px 0;
    }
    /* Keyboard hint in subtitle */
    .shortcut-hint { opacity: 0.7; }
  &lt;/style&gt;
&lt;/head&gt;
&lt;body&gt;
  &lt;div class="container"&gt;
    &lt;div class="card"&gt;
      &lt;div class="header"&gt;
        &lt;div class="header-icon"&gt;
          &lt;svg viewBox="0 0 24 24"&gt;
            &lt;rect x="2" y="7" width="20" height="14" rx="2"/&gt;
            &lt;path d="M16 7V5a2 2 0 0 0-2-2h-4a2 2 0 0 0-2 2v2"/&gt;
            &lt;line x1="12" y1="12" x2="12" y2="16"/&gt;
            &lt;line x1="10" y1="14" x2="14" y2="14"/&gt;
          &lt;/svg&gt;
        &lt;/div&gt;
        &lt;div&gt;
          &lt;div class="title"&gt;Busca de Inventário&lt;/div&gt;
          &lt;div class="subtitle"&gt;
            Use &lt;span class="kbd"&gt;+&lt;/span&gt; para combinar termos
            &amp;nbsp;·&amp;nbsp; &lt;span class="kbd shortcut-hint"&gt;/&lt;/span&gt; para focar
            &amp;nbsp;·&amp;nbsp; mín. 2 caracteres
          &lt;/div&gt;
        &lt;/div&gt;
      &lt;/div&gt;
      &lt;div class="search-wrapper"&gt;
        &lt;svg class="search-icon" viewBox="0 0 24 24" fill="none" stroke="currentColor" stroke-width="2" stroke-linecap="round" stroke-linejoin="round"&gt;
          &lt;circle cx="11" cy="11" r="8"/&gt;&lt;line x1="21" y1="21" x2="16.65" y2="16.65"/&gt;
        &lt;/svg&gt;
        &lt;input
          id="search"
          class="search-box"
          type="text"
          placeholder="Ex: mirra + roll on"
          autocomplete="off"
          spellcheck="false"
          autofocus
        &gt;
        &lt;button class="clear-btn" id="clearBtn" title="Limpar" aria-label="Limpar busca"&gt;
          &lt;svg width="10" height="10" viewBox="0 0 24 24" fill="none" stroke="currentColor" stroke-width="3" stroke-linecap="round"&gt;
            &lt;line x1="18" y1="6" x2="6" y2="18"/&gt;&lt;line x1="6" y1="6" x2="18" y2="18"/&gt;
          &lt;/svg&gt;
        &lt;/button&gt;
      &lt;/div&gt;
      &lt;div class="recents-wrap" id="recentsWrap" style="display:none"&gt;
        &lt;div class="recents-label"&gt;Buscas recentes&lt;/div&gt;
        &lt;div class="recents" id="recents"&gt;&lt;/div&gt;
      &lt;/div&gt;
      &lt;div class="status-bar"&gt;
        &lt;div class="result-count" id="resultCount"&gt;&lt;/div&gt;
        &lt;div class="loading" id="loading"&gt;
          &lt;div class="spinner"&gt;&lt;/div&gt;
          Buscando…
        &lt;/div&gt;
      &lt;/div&gt;
      &lt;div id="results"&gt;&lt;/div&gt;
    &lt;/div&gt;
  &lt;/div&gt;
  &lt;script&gt;
    const RECENTS_KEY = "inv_recents";
    const MAX_RECENTS = 6;
    let debounceTimer = null;
    const searchInput = document.getElementById("search");
    const clearBtn    = document.getElementById("clearBtn");
    const resultsEl   = document.getElementById("results");
    const loadingEl   = document.getElementById("loading");
    const countEl     = document.getElementById("resultCount");
    const recentsEl   = document.getElementById("recents");
    const recentsWrap = document.getElementById("recentsWrap");
    // ── Keyboard shortcuts ────────────────────────────────────────────────────
    document.addEventListener("keydown", function(e) {
      if (e.key === "/" &amp;&amp; document.activeElement !== searchInput) {
        e.preventDefault();
        searchInput.focus();
        searchInput.select();
      }
      if (e.key === "Escape" &amp;&amp; document.activeElement === searchInput) {
        searchInput.blur();
      }
    });
    // ── Search input events ───────────────────────────────────────────────────
    searchInput.addEventListener("input", onInput);
    clearBtn.addEventListener("click", clearSearch);
    function onInput() {
      const termo = searchInput.value;
      clearBtn.classList.toggle("visible", termo.length &gt; 0);
      clearTimeout(debounceTimer);
      if (!termo.trim()) { showHint(); return; }
      if (termo.trim().length &lt; 2) { showMinChars(); return; }
      debounceTimer = setTimeout(function() { buscar(termo); }, 300);
    }
    function clearSearch() {
      searchInput.value = "";
      clearBtn.classList.remove("visible");
      showHint();
      searchInput.focus();
    }
    // ── Recent searches ───────────────────────────────────────────────────────
    function getRecents() {
      try { return JSON.parse(localStorage.getItem(RECENTS_KEY)) || []; }
      catch(e) { return []; }
    }
    function saveRecent(termo) {
      var t = termo.trim();
      if (!t || t.length &lt; 2) return;
      var recents = getRecents().filter(function(r) { return r !== t; });
      recents.unshift(t);
      recents = recents.slice(0, MAX_RECENTS);
      localStorage.setItem(RECENTS_KEY, JSON.stringify(recents));
      renderRecents();
    }
    function removeRecent(termo) {
      var recents = getRecents().filter(function(r) { return r !== termo; });
      localStorage.setItem(RECENTS_KEY, JSON.stringify(recents));
      renderRecents();
    }
    function renderRecents() {
      var recents = getRecents();
      recentsEl.innerHTML = "";
      if (!recents.length) { recentsWrap.style.display = "none"; return; }
      recentsWrap.style.display = "block";
      recents.forEach(function(r) {
        var chip = document.createElement("button");
        chip.className = "chip";
        chip.type = "button";
        var iconEl = document.createElement("span");
        iconEl.className = "chip-icon";
        iconEl.innerHTML = '&lt;svg width="11" height="11" viewBox="0 0 24 24" fill="none" stroke="currentColor" stroke-width="2" stroke-linecap="round" stroke-linejoin="round"&gt;&lt;circle cx="12" cy="12" r="10"/&gt;&lt;polyline points="12 6 12 12 16 14"/&gt;&lt;/svg&gt;';
        var textEl = document.createElement("span");
        textEl.className = "chip-text";
        textEl.textContent = r;
        var removeBtn = document.createElement("button");
        removeBtn.className = "chip-remove";
        removeBtn.type = "button";
        removeBtn.setAttribute("aria-label", "Remover busca");
        removeBtn.innerHTML = '&lt;svg width="8" height="8" viewBox="0 0 24 24" fill="none" stroke="currentColor" stroke-width="3.5" stroke-linecap="round"&gt;&lt;line x1="18" y1="6" x2="6" y2="18"/&gt;&lt;line x1="6" y1="6" x2="18" y2="18"/&gt;&lt;/svg&gt;';
        removeBtn.addEventListener("click", function(e) {
          e.stopPropagation();
          removeRecent(r);
        });
        chip.addEventListener("click", function() {
          searchInput.value = r;
          clearBtn.classList.add("visible");
          buscar(r);
        });
        chip.appendChild(iconEl);
        chip.appendChild(textEl);
        chip.appendChild(removeBtn);
        recentsEl.appendChild(chip);
      });
    }
    // ── API call ──────────────────────────────────────────────────────────────
    function buscar(termo) {
      setLoading(true);
      countEl.textContent = "";
      google.script.run
        .withSuccessHandler(function(data) { render(data, termo); })
        .withFailureHandler(onError)
        .buscarProdutosWeb(termo);
    }
    // ── Render results ────────────────────────────────────────────────────────
    function render(data, termo) {
      setLoading(false);
      resultsEl.innerHTML = "";
      if (!data || data.length === 0) {
        countEl.textContent = "";
        resultsEl.appendChild(buildState("empty"));
        return;
      }
      saveRecent(termo);
      var total = data.length;
      countEl.innerHTML = "&lt;strong&gt;" + total + "&lt;/strong&gt; produto" + (total !== 1 ? "s" : "") + " encontrado" + (total !== 1 ? "s" : "");
      var palavras = termo.toLowerCase().split("+").map(function(p) { return p.trim(); }).filter(Boolean);
      var fragment = document.createDocumentFragment();
      data.forEach(function(item, i) {
        var div = document.createElement("div");
        div.className = "item";
        div.style.animationDelay = (i * 30) + "ms";
        var iconWrap = document.createElement("div");
        iconWrap.className = "item-icon";
        iconWrap.innerHTML = '&lt;svg viewBox="0 0 24 24"&gt;&lt;path d="M21 16V8a2 2 0 0 0-1-1.73l-7-4a2 2 0 0 0-2 0l-7 4A2 2 0 0 0 3 8v8a2 2 0 0 0 1 1.73l7 4a2 2 0 0 0 2 0l7-4A2 2 0 0 0 21 16z"/&gt;&lt;polyline points="3.27 6.96 12 12.01 20.73 6.96"/&gt;&lt;line x1="12" y1="22.08" x2="12" y2="12"/&gt;&lt;/svg&gt;';
        var info = document.createElement("div");
        info.className = "item-info";
        var nome = document.createElement("div");
        nome.className = "produto";
        nome.innerHTML = highlight(item.produto, palavras);
        var badge = document.createElement("div");
        badge.className = "caixa-badge";
        badge.innerHTML = '&lt;svg viewBox="0 0 24 24"&gt;&lt;rect x="1" y="3" width="15" height="13"/&gt;&lt;polygon points="16 8 20 8 23 11 23 16 16 16 16 8"/&gt;&lt;circle cx="5.5" cy="18.5" r="2.5"/&gt;&lt;circle cx="18.5" cy="18.5" r="2.5"/&gt;&lt;/svg&gt;';
        badge.appendChild(document.createTextNode(item.caixa));
        info.appendChild(nome);
        info.appendChild(badge);
        div.appendChild(iconWrap);
        div.appendChild(info);
        fragment.appendChild(div);
      });
      resultsEl.appendChild(fragment);
    }
    function highlight(text, palavras) {
      var safe = text.replace(/&amp;/g, "&amp;amp;").replace(/&lt;/g, "&amp;lt;").replace(/&gt;/g, "&amp;gt;");
      palavras.forEach(function(p) {
        if (!p) return;
        var re = new RegExp(p.replace(/[.*+?^${}()|[\]\\]/g, "\\$&amp;"), "gi");
        safe = safe.replace(re, function(m) { return "&lt;mark&gt;" + m + "&lt;/mark&gt;"; });
      });
      return safe;
    }
    // ── Error handler ─────────────────────────────────────────────────────────
    function onError(err) {
      setLoading(false);
      countEl.textContent = "";
      resultsEl.innerHTML = "";
      var errDiv = document.createElement("div");
      errDiv.className = "error";
      errDiv.innerHTML =
        '&lt;svg width="18" height="18" viewBox="0 0 24 24" fill="none" stroke="currentColor" stroke-width="2" stroke-linecap="round" stroke-linejoin="round"&gt;' +
          '&lt;circle cx="12" cy="12" r="10"/&gt;' +
          '&lt;line x1="12" y1="8" x2="12" y2="12"/&gt;' +
          '&lt;line x1="12" y1="16" x2="12.01" y2="16"/&gt;' +
        '&lt;/svg&gt;';
      var msg = document.createElement("span");
      msg.textContent = "Erro ao buscar. Verifique sua conexão e tente novamente.";
      errDiv.appendChild(msg);
      resultsEl.appendChild(errDiv);
    }
    // ── Helpers ───────────────────────────────────────────────────────────────
    function setLoading(on) { loadingEl.classList.toggle("visible", on); }
    function showHint() {
      countEl.textContent = "";
      resultsEl.innerHTML = "";
      resultsEl.appendChild(buildState("hint"));
    }
    function showMinChars() {
      countEl.textContent = "";
      resultsEl.innerHTML = "";
      var el = document.createElement("div");
      el.className = "min-chars";
      el.textContent = "Digite ao menos 2 caracteres\u2026";
      resultsEl.appendChild(el);
    }
    function buildState(type) {
      var el = document.createElement("div");
      el.className = type;
      var icon = document.createElement("div");
      icon.className = "state-icon";
      var title = document.createElement("div");
      title.className = "state-title";
      var sub = document.createElement("div");
      sub.className = "state-sub";
      if (type === "hint") {
        icon.innerHTML = '&lt;svg viewBox="0 0 24 24"&gt;&lt;circle cx="11" cy="11" r="8"/&gt;&lt;line x1="21" y1="21" x2="16.65" y2="16.65"/&gt;&lt;/svg&gt;';
        title.textContent = "Busca de Inventário";
        sub.textContent = "Digite o nome do produto para localizar";
      } else {
        icon.innerHTML = '&lt;svg viewBox="0 0 24 24"&gt;&lt;circle cx="11" cy="11" r="8"/&gt;&lt;line x1="21" y1="21" x2="16.65" y2="16.65"/&gt;&lt;line x1="8" y1="11" x2="14" y2="11"/&gt;&lt;/svg&gt;';
        title.textContent = "Nenhum produto encontrado";
        sub.textContent = "Tente outros termos ou verifique a grafia";
      }
      el.appendChild(icon);
      el.appendChild(title);
      el.appendChild(sub);
      return el;
    }
    // ── Init ──────────────────────────────────────────────────────────────────
    renderRecents();
    showHint();
  &lt;/script&gt;
&lt;/body&gt;
&lt;/html&gt;</t>
  </si>
  <si>
    <t>Preciso de alguns ajustes no sistema:
Home (página principal)
Alterar o fundo padrão de escuro para branco (modo claro), mantendo a opção de alternar para modo escuro.
A imagem de fundo deve ter um efeito 3D com profundidade, transmitindo a sensação de um caminho infinito no horizonte.
Elemento visual do lado direito
Substituir os textos técnicos (SYS ONLINE, CPU OK, etc.) por um elemento visual 3D.
Esse elemento deve ser uma lupa 3D animada, girando 360° continuamente em torno do próprio eixo, semelhante ao movimento de rotação do planeta Terra.
Relatório por e-mail (Inventário)
Adicionar essa funcionalidade também dentro da aba Inventário.
O relatório deve considerar automaticamente todos os itens indisponíveis ou inativos (ou seja, itens que não aparecem na busca do Dashboard).
Incluir opção para definir manualmente o e-mail de destino antes do envio (não fixo).
Gestão de status dos itens (Inventário)
Criar uma opção simples (ex: botão ou ação rápida) para marcar itens como inativos/indisponíveis diretamente pela interface.
Essa ação deve sincronizar automaticamente com a planilha vinculada.
Versão mobile
Melhorar a experiência mobile, focando em:
Mais praticidade de uso
Melhor organização visual
Fluxos mais rápidos e intuitivos</t>
  </si>
  <si>
    <t>function include(filename) {
  return HtmlService.createHtmlOutputFromFile(filename).getContent();
}
function doGet() {
  return HtmlService.createTemplateFromFile('index')
    .evaluate()
    .setXFrameOptionsMode(HtmlService.XFrameOptionsMode.ALLOWALL)
    .setTitle('Essência do Brasil — Sistema de Gestão');
}
function buscarProdutosWeb(termoBusca) {
  var ss    = SpreadsheetApp.getActiveSpreadsheet();
  var sheet = ss.getSheetByName("Inventário");
  var dados = sheet.getDataRange().getValues();
  var HEADER_ROW = 0;
  var START_ROW  = 1;
  var palavras = termoBusca
    .toLowerCase()
    .split("+")
    .map(function(p) { return p.trim(); })
    .filter(function(p) { return p; });
  var resultados = [];
  for (var i = START_ROW; i &lt; dados.length; i++) {
    for (var j = 2; j &lt; dados[0].length; j += 2) {
      var produto = dados[i][j];
      var qtd     = dados[i][j + 1];
      var caixa   = dados[HEADER_ROW][j];
      if (!produto || !qtd || qtd &lt;= 0) continue;
      var nome  = produto.toString().toLowerCase();
      var match = palavras.every(function(p) { return nome.indexOf(p) !== -1; });
      if (match) {
        resultados.push({ produto: produto, caixa: caixa });
      }
    }
  }
  return resultados;
}
function getValidadeData() {
  var ss    = SpreadsheetApp.getActiveSpreadsheet();
  var sheet = ss.getSheetByName("Validade");
  if (!sheet) return [];
  var rows   = sheet.getDataRange().getValues();
  var result = [];
  for (var i = 1; i &lt; rows.length; i++) {
    var r = rows[i];
    if (!r[1]) continue;
    result.push({
      codigoBarras:    String(r[0]  || ""),
      produto:         String(r[1]  || ""),
      dataProducao:    String(r[2]  || ""),
      etiqueta:        String(r[3]  || ""),
      lote:            String(r[4]  || ""),
      validade:        String(r[5]  || ""),
      diasRestantes:   Number(r[6]) || 0,
      status:          String(r[7]  || ""),
      precisaProduzir: String(r[8]  || ""),
      estoque:         String(r[9]  || ""),
      observacao:      String(r[10] || "")
    });
  }
  return result;
}</t>
  </si>
  <si>
    <t>&lt;!DOCTYPE html&gt;
&lt;html lang="pt-BR" data-theme="light"&gt;
&lt;head&gt;
  &lt;meta charset="UTF-8"&gt;
  &lt;meta name="viewport" content="width=device-width, initial-scale=1.0"&gt;
  &lt;base target="_top"&gt;
  &lt;title&gt;Essência do Brasil&lt;/title&gt;
  &lt;?!= include('estilos') ?&gt;
&lt;/head&gt;
&lt;body&gt;
  &lt;div id="app"&gt;
    &lt;?!= include('home') ?&gt;
    &lt;?!= include('page-inventario') ?&gt;
    &lt;?!= include('page-validade') ?&gt;
  &lt;/div&gt;
  &lt;div class="toast-wrap" id="toastWrap"&gt;&lt;/div&gt;
  &lt;canvas id="confetti"&gt;&lt;/canvas&gt;
  &lt;button class="scroll-top" id="scrollTop" aria-label="Voltar ao topo"&gt;
    &lt;svg viewBox="0 0 24 24" width="16" height="16" fill="none" stroke="#fff" stroke-width="2.5" stroke-linecap="round" stroke-linejoin="round"&gt;
      &lt;polyline points="18 15 12 9 6 15"/&gt;
    &lt;/svg&gt;
  &lt;/button&gt;
  &lt;!-- Shortcuts overlay --&gt;
  &lt;div class="ov-bg" id="shortcutsOverlay" role="dialog" aria-modal="true" aria-label="Atalhos de teclado"&gt;
    &lt;div class="ov-card"&gt;
      &lt;div class="ov-title"&gt;
        Atalhos de teclado
        &lt;button class="ov-close" id="overlayClose" aria-label="Fechar"&gt;
          &lt;svg viewBox="0 0 24 24" width="16" height="16" fill="none" stroke="currentColor" stroke-width="2" stroke-linecap="round"&gt;
            &lt;line x1="18" y1="6" x2="6" y2="18"/&gt;&lt;line x1="6" y1="6" x2="18" y2="18"/&gt;
          &lt;/svg&gt;
        &lt;/button&gt;
      &lt;/div&gt;
      &lt;div class="sh-row"&gt;&lt;span&gt;Ir para Home&lt;/span&gt;&lt;span&gt;&lt;span class="kbd"&gt;H&lt;/span&gt;&lt;/span&gt;&lt;/div&gt;
      &lt;div class="sh-row"&gt;&lt;span&gt;Ir para Inventário&lt;/span&gt;&lt;span&gt;&lt;span class="kbd"&gt;1&lt;/span&gt;&lt;/span&gt;&lt;/div&gt;
      &lt;div class="sh-row"&gt;&lt;span&gt;Ir para Validade&lt;/span&gt;&lt;span&gt;&lt;span class="kbd"&gt;2&lt;/span&gt;&lt;/span&gt;&lt;/div&gt;
      &lt;div class="sh-row"&gt;&lt;span&gt;Focar busca&lt;/span&gt;&lt;span&gt;&lt;span class="kbd"&gt;/&lt;/span&gt;&lt;/span&gt;&lt;/div&gt;
      &lt;div class="sh-row"&gt;&lt;span&gt;Aceitar sugestão&lt;/span&gt;&lt;span&gt;&lt;span class="kbd"&gt;Tab&lt;/span&gt;&lt;/span&gt;&lt;/div&gt;
      &lt;div class="sh-row"&gt;&lt;span&gt;Navegar resultados&lt;/span&gt;&lt;span&gt;&lt;span class="kbd"&gt;↑&lt;/span&gt; &lt;span class="kbd"&gt;↓&lt;/span&gt;&lt;/span&gt;&lt;/div&gt;
      &lt;div class="sh-row"&gt;&lt;span&gt;Copiar item focado&lt;/span&gt;&lt;span&gt;&lt;span class="kbd"&gt;Enter&lt;/span&gt;&lt;/span&gt;&lt;/div&gt;
      &lt;div class="sh-row"&gt;&lt;span&gt;Exportar CSV&lt;/span&gt;&lt;span&gt;&lt;span class="kbd"&gt;Ctrl&lt;/span&gt; &lt;span class="kbd"&gt;E&lt;/span&gt;&lt;/span&gt;&lt;/div&gt;
      &lt;div class="sh-row"&gt;&lt;span&gt;Alternar tema&lt;/span&gt;&lt;span&gt;&lt;span class="kbd"&gt;Ctrl&lt;/span&gt; &lt;span class="kbd"&gt;D&lt;/span&gt;&lt;/span&gt;&lt;/div&gt;
      &lt;div class="sh-row"&gt;&lt;span&gt;Fechar / limpar&lt;/span&gt;&lt;span&gt;&lt;span class="kbd"&gt;Esc&lt;/span&gt;&lt;/span&gt;&lt;/div&gt;
      &lt;div class="sh-row"&gt;&lt;span&gt;Abrir atalhos&lt;/span&gt;&lt;span&gt;&lt;span class="kbd"&gt;?&lt;/span&gt;&lt;/span&gt;&lt;/div&gt;
    &lt;/div&gt;
  &lt;/div&gt;
  &lt;?!= include('scripts') ?&gt;
&lt;/body&gt;
&lt;/html&gt;</t>
  </si>
  <si>
    <t>&lt;style&gt;
/* ═══════════════════════════════════════════════════
   CSS TOKENS — light
   ═══════════════════════════════════════════════════ */
:root {
  /* Fundos */
  --bg:              #f4f6f4;
  --bg-deep:         #e8ece8;
  --surface:         rgba(255,255,255,0.82);
  --surface-solid:   #ffffff;
  --surface-2:       rgba(240,245,240,0.9);
  /* Verde tecnológico */
  --green-900: #1b3a1f;
  --green-800: #1b5e20;
  --green-700: #2e7d32;
  --green-600: #388e3c;
  --green-500: #43a047;
  --green-400: #66bb6a;
  --green-300: #a5d6a7;
  --green-100: #e8f5e9;
  --green-neon:        #00e676;
  --green-glow:        rgba(0,230,118,0.18);
  --green-border:      rgba(0,200,83,0.35);
  --green-border-soft: rgba(0,200,83,0.15);
  /* Cinzas */
  --gray-900: #1c2526;
  --gray-800: #263238;
  --gray-700: #37474f;
  --gray-600: #546e7a;
  --gray-500: #78909c;
  --gray-400: #90a4ae;
  --gray-300: #b0bec5;
  --gray-200: #cfd8dc;
  --gray-100: #eceff1;
  --gray-50:  #f5f7f7;
  /* Texto */
  --text-primary:   #1c2e1c;
  --text-secondary: #37474f;
  --text-muted:     #78909c;
  --text-on-green:  #ffffff;
  /* Bordas e sombras */
  --border:          rgba(0,0,0,0.08);
  --shadow-sm:       0 1px 4px rgba(0,0,0,0.06);
  --shadow-md:       0 4px 20px rgba(0,0,0,0.08), 0 1px 4px rgba(0,0,0,0.04);
  --shadow-lg:       0 12px 48px rgba(0,0,0,0.1), 0 4px 16px rgba(0,0,0,0.06);
  --shadow-green:    0 0 24px rgba(0,230,118,0.2), 0 0 8px rgba(0,230,118,0.1);
  --shadow-card:     0 2px 8px rgba(0,0,0,0.06), 0 8px 32px rgba(0,0,0,0.08);
  /* Itens inventário */
  --item-bg:           #f9fafb;
  --item-border:       #ebebeb;
  --item-hover-border: #a5d6a7;
  --item-hover-shadow: rgba(46,125,50,0.14);
  --chip-bg:           #f1f8f1;
  --chip-border:       #c8e6c9;
  --badge-bg:          #f1f8f1;
  --badge-color:       #388e3c;
  --mark-bg:           #fff59d;
  --mark-color:        inherit;
  --input-bg:          #f5f6f8;
  --input-border:      #e0e0e0;
  --input-focus-border:#43a047;
  --input-focus-shadow:rgba(67,160,71,0.14);
  --divider:           #f0f0f0;
  --toggle-bg:         #ededf0;
  --toggle-color:      #555;
  --kbd-bg:            rgba(255,255,255,0.85);
  --kbd-border:        #d0d0d0;
  --scrollbar-thumb:   #c8e6c9;
  /* Tipografia e geometria */
  --font:      -apple-system, BlinkMacSystemFont, "Segoe UI", "Inter", Roboto, Arial, sans-serif;
  --font-mono: "SF Mono", "Fira Code", "Consolas", monospace;
  --radius-sm: 8px;
  --radius-md: 14px;
  --radius-lg: 20px;
  --radius-xl: 28px;
  --tr:        0.22s ease;
  --tr-fast:   0.15s ease;
  /* Status validade */
  --danger:     #c62828;
  --danger-bg:  #ffebee;
  --warning:    #e65100;
  --warning-bg: #fff3e0;
  --ok-bg:      #f1f8f1;
  --ok-color:   #2e7d32;
}
/* ── DARK THEME ───────────────────────────────────── */
[data-theme="dark"] {
  --bg:              #070d09;
  --bg-deep:         #050809;
  --surface:         rgba(12,20,14,0.95);
  --surface-solid:   #0c140e;
  --surface-2:       rgba(12,20,14,0.9);
  --green-100:       #071209;
  --green-glow:      rgba(0,230,118,0.12);
  --green-border:    rgba(0,200,83,0.25);
  --green-border-soft:rgba(0,200,83,0.10);
  --text-primary:    #e2f0e4;
  --text-secondary:  #7a9e7e;
  --text-muted:      #3d5c42;
  --border:          rgba(0,230,118,0.07);
  --item-bg:         #0c140e;
  --item-border:     #132016;
  --item-hover-border:#66bb6a;
  --item-hover-shadow:rgba(0,230,118,0.14);
  --chip-bg:         #0c1f10;
  --chip-border:     #1a3820;
  --badge-bg:        #0c1f10;
  --badge-color:     #66bb6a;
  --mark-bg:         rgba(255,245,0,0.20);
  --mark-color:      #fff59d;
  --input-bg:        #0c140e;
  --input-border:    #1a3820;
  --input-focus-border:#00e676;
  --input-focus-shadow:rgba(0,230,118,0.16);
  --divider:         #132016;
  --toggle-bg:       #132016;
  --toggle-color:    #5a8c5e;
  --kbd-bg:          rgba(0,230,118,0.07);
  --kbd-border:      #1a3820;
  --scrollbar-thumb: #1a3820;
  --gray-50:         #070d09;
  --gray-100:        #0c140e;
  --gray-200:        #132016;
  --gray-300:        #1a3820;
  --shadow-card:     0 2px 8px rgba(0,0,0,0.5), 0 8px 32px rgba(0,0,0,0.6);
  --shadow-green:    0 0 32px rgba(0,230,118,0.18), 0 0 10px rgba(0,230,118,0.08);
  --danger:          #ef5350;
  --danger-bg:       #1c0a0a;
  --warning:         #ffa726;
  --warning-bg:      #1c1000;
  --ok-bg:           #0c1f10;
  --ok-color:        #66bb6a;
}
/* ── RESET ───────────────────────────────────────── */
*, *::before, *::after { box-sizing: border-box; margin: 0; padding: 0; }
::-webkit-scrollbar { width: 6px; height: 6px; }
::-webkit-scrollbar-track { background: transparent; }
::-webkit-scrollbar-thumb { background: var(--scrollbar-thumb); border-radius: 6px; }
::-webkit-scrollbar-thumb:hover { background: var(--green-400); }
* { scrollbar-width: thin; scrollbar-color: var(--scrollbar-thumb) transparent; }
/* ── CORPO E LAYOUT GLOBAL ───────────────────────── */
html, body {
  margin: 0; padding: 0; min-height: 100vh;
  font-family: var(--font);
  background: var(--bg);
  color: var(--text-primary);
  overflow-x: hidden;
  transition: background 0.3s, color 0.3s;
}
/* Grade sutil de fundo */
body::before {
  content: '';
  position: fixed; inset: 0;
  background-image:
    linear-gradient(rgba(0,200,83,0.035) 1px, transparent 1px),
    linear-gradient(90deg, rgba(0,200,83,0.035) 1px, transparent 1px);
  background-size: 40px 40px;
  pointer-events: none; z-index: 0;
}
[data-theme="dark"] body::before {
  background-image:
    linear-gradient(rgba(0,230,118,0.04) 1px, transparent 1px),
    linear-gradient(90deg, rgba(0,230,118,0.04) 1px, transparent 1px);
}
#app { position: relative; z-index: 1; min-height: 100vh; }
/* ── PÁGINAS — show/hide com animação ────────────── */
.page { display: none; min-height: 100vh; }
.page.active { display: flex; flex-direction: column; animation: pageIn 0.3s ease both; }
@keyframes pageIn {
  from { opacity: 0; transform: translateY(12px); }
  to   { opacity: 1; transform: translateY(0); }
}
/* ═══════════════════════════════════════════════════
   HOME PAGE — FUTURISTA
   ═══════════════════════════════════════════════════ */
.home-page {
  background:
    radial-gradient(ellipse 90% 70% at 50% -10%, rgba(0,230,118,0.09) 0%, transparent 60%),
    radial-gradient(ellipse 50% 40% at 85% 95%, rgba(0,230,118,0.06) 0%, transparent 55%),
    radial-gradient(ellipse 40% 30% at 5%  80%, rgba(0,100,200,0.04) 0%, transparent 50%),
    linear-gradient(165deg, #f6faf6 0%, #eef4ee 50%, #e8f0e8 100%);
  align-items: stretch;
  position: relative;
  overflow: hidden;
}
[data-theme="dark"] .home-page {
  background:
    radial-gradient(ellipse 90% 70% at 50% -10%, rgba(0,230,118,0.07) 0%, transparent 60%),
    radial-gradient(ellipse 50% 40% at 85% 95%, rgba(0,200,83,0.04) 0%, transparent 55%),
    linear-gradient(165deg, #070d09 0%, #080f0a 60%, #060b07 100%);
}
/* ── Orb decorativo ──────────────────────────────── */
.home-orb {
  position: fixed; top: -160px; left: 50%; transform: translateX(-50%);
  width: 700px; height: 350px;
  background: radial-gradient(ellipse, rgba(0,230,118,0.1), transparent 68%);
  pointer-events: none; z-index: 0;
  animation: orbPulse 7s ease-in-out infinite;
}
.home-orb-2 {
  position: fixed; bottom: -100px; right: -100px;
  width: 400px; height: 400px;
  background: radial-gradient(ellipse, rgba(0,200,83,0.06), transparent 70%);
  pointer-events: none; z-index: 0;
  animation: orbPulse 10s ease-in-out infinite reverse;
}
@keyframes orbPulse {
  0%,100% { opacity: 0.7; transform: translateX(-50%) scale(1); }
  50%      { opacity: 1;   transform: translateX(-50%) scale(1.07); }
}
.home-orb-2 { animation: orbPulse2 10s ease-in-out infinite reverse; }
@keyframes orbPulse2 {
  0%,100% { opacity: 0.7; transform: scale(1); }
  50%      { opacity: 1;   transform: scale(1.08); }
}
/* ── Scan line decoration ────────────────────────── */
.home-scan {
  position: fixed; left: 0; right: 0; height: 1px;
  background: linear-gradient(90deg,
    transparent  0%,
    rgba(0,230,118,0.0) 10%,
    rgba(0,230,118,0.6) 50%,
    rgba(0,230,118,0.0) 90%,
    transparent 100%);
  pointer-events: none; z-index: 0;
  animation: homeScanLine 14s linear infinite;
  top: 0; opacity: 0;
}
.home-page.active .home-scan { opacity: 1; }
@keyframes homeScanLine {
  0%   { top: 0%;   opacity: 0;   }
  3%   { opacity: 0.8; }
  97%  { opacity: 0.3; }
  100% { top: 100%; opacity: 0;   }
}
/* ── Corner decorations ──────────────────────────── */
.home-corner {
  position: fixed; pointer-events: none; z-index: 0;
}
.home-corner-tl { top: 20px; left: 20px; }
.home-corner-br { bottom: 20px; right: 20px; transform: rotate(180deg); }
/* ── Header da Home ──────────────────────────────── */
.home-header {
  display: flex; align-items: center; justify-content: space-between;
  padding: 16px 40px;
  border-bottom: 1px solid var(--green-border-soft);
  background: rgba(255,255,255,0.55); backdrop-filter: blur(16px);
  position: sticky; top: 0; z-index: 100;
  transition: background 0.3s;
  gap: 16px;
}
[data-theme="dark"] .home-header {
  background: rgba(7,13,9,0.75);
  border-bottom-color: rgba(0,230,118,0.1);
}
.home-logo { display: flex; align-items: center; gap: 12px; flex-shrink: 0; }
.home-logo-icon {
  width: 40px; height: 40px;
  background: linear-gradient(135deg, var(--green-800), var(--green-500));
  border-radius: 11px;
  display: flex; align-items: center; justify-content: center;
  box-shadow: var(--shadow-green), 0 2px 8px rgba(0,0,0,0.2);
  flex-shrink: 0;
}
.home-logo-name { font-size: 16px; font-weight: 700; color: var(--text-primary); letter-spacing: -0.3px; }
.home-logo-tag  { font-size: 9.5px; font-weight: 700; letter-spacing: 1.8px; text-transform: uppercase; color: var(--green-500); margin-top: 1px; }
/* System status badge */
.system-status {
  display: flex; align-items: center; gap: 7px;
  background: rgba(0,230,118,0.08); border: 1px solid var(--green-border);
  border-radius: 20px; padding: 5px 14px;
  font-size: 10px; font-weight: 700; letter-spacing: 1.2px;
  text-transform: uppercase; color: var(--green-600);
  flex-shrink: 0;
}
[data-theme="dark"] .system-status { color: var(--green-neon); background: rgba(0,230,118,0.05); }
.system-status-dot {
  width: 6px; height: 6px; border-radius: 50%;
  background: var(--green-neon); box-shadow: 0 0 7px var(--green-neon);
  animation: blink 2.2s ease infinite; flex-shrink: 0;
}
@keyframes blink { 0%,100%{opacity:1} 50%{opacity:0.25} }
.home-header-actions { display: flex; align-items: center; gap: 8px; margin-left: auto; flex-shrink: 0; }
/* ── Hero ─────────────────────────────────────────── */
.home-hero {
  flex: 1; display: flex; flex-direction: column;
  align-items: center; justify-content: center;
  padding: 56px 40px 48px; text-align: center;
  position: relative; z-index: 1;
}
.home-hero-badge {
  display: inline-flex; align-items: center; gap: 8px;
  background: rgba(0,200,83,0.08); border: 1px solid var(--green-border);
  border-radius: 20px; padding: 5px 16px;
  font-size: 10.5px; font-weight: 700; letter-spacing: 1.2px;
  text-transform: uppercase; color: var(--green-600);
  margin-bottom: 22px; animation: fadeSlideIn 0.5s ease both;
  font-family: var(--font-mono);
}
[data-theme="dark"] .home-hero-badge { color: var(--green-neon); }
.home-hero-badge-dot {
  width: 6px; height: 6px; border-radius: 50%;
  background: var(--green-neon); box-shadow: 0 0 6px var(--green-neon);
  animation: blink 2s ease infinite; flex-shrink: 0;
}
@keyframes fadeSlideIn { from{opacity:0;transform:translateY(-10px)} to{opacity:1;transform:translateY(0)} }
.home-title {
  font-size: clamp(34px, 6.5vw, 60px); font-weight: 800;
  color: var(--text-primary); letter-spacing: -2px; line-height: 1.08;
  margin-bottom: 16px; animation: fadeSlideIn 0.5s ease 0.08s both;
}
.home-title span {
  background: linear-gradient(135deg, var(--green-700) 0%, var(--green-neon) 100%);
  -webkit-background-clip: text; -webkit-text-fill-color: transparent; background-clip: text;
}
[data-theme="dark"] .home-title span {
  background: linear-gradient(135deg, var(--green-400) 0%, var(--green-neon) 100%);
  -webkit-background-clip: text; -webkit-text-fill-color: transparent; background-clip: text;
}
.home-subtitle {
  font-size: clamp(14px, 2vw, 17px); color: var(--text-muted); line-height: 1.65;
  max-width: 500px; margin: 0 auto 40px;
  animation: fadeSlideIn 0.5s ease 0.16s both;
}
/* ── STATS STRIP ──────────────────────────────────── */
.hero-stats {
  display: flex; align-items: stretch;
  background: rgba(255,255,255,0.5);
  border: 1px solid var(--green-border);
  border-radius: var(--radius-md);
  overflow: hidden; margin: 0 auto 48px;
  max-width: 520px; width: 100%;
  animation: fadeSlideIn 0.5s ease 0.22s both;
  backdrop-filter: blur(12px);
  box-shadow: 0 2px 20px rgba(0,200,83,0.08);
}
[data-theme="dark"] .hero-stats {
  background: rgba(0,30,10,0.4);
  box-shadow: 0 2px 20px rgba(0,230,118,0.06);
}
.hero-stat {
  flex: 1; text-align: center;
  padding: 16px 12px;
}
.hero-stat-value {
  font-family: var(--font-mono);
  font-size: 18px; font-weight: 700;
  color: var(--green-600); letter-spacing: 0.5px;
  line-height: 1;
}
[data-theme="dark"] .hero-stat-value { color: var(--green-neon); }
.hero-stat-value.clock-val { font-size: 16px; letter-spacing: 2px; }
.hero-stat-label {
  font-size: 8.5px; font-weight: 700; letter-spacing: 1.4px;
  text-transform: uppercase; color: var(--text-muted);
  margin-top: 5px;
}
.hero-stat-divider {
  width: 1px; background: var(--green-border);
  flex-shrink: 0; margin: 10px 0;
}
/* ── GRID DE CARDS ─────────────────────────────────── */
.home-nav-grid {
  display: grid;
  grid-template-columns: repeat(auto-fit, minmax(230px, 1fr));
  gap: 18px; width: 100%; max-width: 940px; margin: 0 auto;
  animation: fadeSlideIn 0.5s ease 0.3s both;
}
/* ── Card de navegação ────────────────────────────── */
.nav-card {
  background: rgba(255,255,255,0.65);
  border: 1px solid var(--green-border-soft);
  border-radius: var(--radius-lg);
  padding: 22px 22px 58px;
  cursor: pointer;
  transition: all 0.2s ease;
  text-align: left;
  position: relative; overflow: hidden;
  backdrop-filter: blur(14px);
  box-shadow: var(--shadow-card);
  user-select: none;
}
[data-theme="dark"] .nav-card {
  background: rgba(0,20,8,0.7);
  border-color: rgba(0,200,83,0.12);
}
/* top gradient line */
.nav-card::before {
  content: ''; position: absolute; top: 0; left: 0; right: 0; height: 1.5px;
  background: linear-gradient(90deg, transparent 0%, var(--green-400) 50%, transparent 100%);
  opacity: 0; transition: opacity 0.2s;
}
.nav-card:hover::before { opacity: 1; }
/* inner glow */
.nav-card::after {
  content: ''; position: absolute; inset: 0;
  background: radial-gradient(ellipse 90% 70% at 50% 0%, rgba(0,230,118,0.07), transparent 70%);
  opacity: 0; transition: opacity 0.2s; pointer-events: none;
}
.nav-card:hover::after { opacity: 1; }
.nav-card:hover {
  border-color: var(--green-border);
  box-shadow: var(--shadow-green), var(--shadow-md);
  transform: translateY(-5px);
}
[data-theme="dark"] .nav-card:hover {
  border-color: rgba(0,230,118,0.35);
  background: rgba(0,25,10,0.8);
}
.nav-card:active { transform: translateY(-2px) scale(0.99); }
.nav-card.disabled { opacity: 0.45; cursor: default; pointer-events: none; }
/* scan sweep on hover */
.nav-card-scan {
  position: absolute; left: 0; right: 0; height: 1px;
  background: linear-gradient(90deg, transparent, var(--green-neon), transparent);
  top: -1px; pointer-events: none; opacity: 0;
}
.nav-card:hover .nav-card-scan { animation: cardScanDown 0.55s ease forwards; }
@keyframes cardScanDown {
  0%   { top: 0%;    opacity: 0; }
  10%  { opacity: 0.9; }
  90%  { opacity: 0.4; }
  100% { top: 100%; opacity: 0; }
}
/* status badge */
.nav-card-status {
  position: absolute; top: 16px; right: 16px;
  display: flex; align-items: center; gap: 5px;
  font-size: 8.5px; font-weight: 700; letter-spacing: 1.4px;
  text-transform: uppercase; font-family: var(--font-mono);
}
.nav-card-status.online { color: var(--green-neon); }
[data-theme="dark"] .nav-card-status.online { color: var(--green-neon); }
.nav-card.disabled .nav-card-status { color: var(--text-muted); }
.nav-card-status-dot {
  width: 5px; height: 5px; border-radius: 50%;
  background: var(--green-neon); box-shadow: 0 0 6px var(--green-neon);
  animation: blink 2.2s ease infinite; flex-shrink: 0;
}
.nav-card.disabled .nav-card-status-dot {
  background: var(--text-muted); box-shadow: none; animation: none;
}
/* module number */
.nav-card-num {
  font-family: var(--font-mono);
  font-size: 9px; font-weight: 700; letter-spacing: 2px;
  color: var(--green-border); text-transform: uppercase;
  margin-bottom: 14px; transition: color 0.2s;
}
.nav-card:hover .nav-card-num { color: var(--green-400); }
.nav-card-icon {
  width: 48px; height: 48px;
  background: var(--green-100); border-radius: 13px;
  display: flex; align-items: center; justify-content: center;
  margin-bottom: 18px; transition: all 0.2s;
}
[data-theme="dark"] .nav-card-icon { background: rgba(0,200,83,0.1); }
.nav-card:hover .nav-card-icon {
  background: linear-gradient(135deg, var(--green-800), var(--green-500));
  box-shadow: var(--shadow-green);
}
.nav-card-icon svg { transition: stroke 0.2s; stroke: var(--green-700); }
.nav-card:hover .nav-card-icon svg { stroke: #fff; }
[data-theme="dark"] .nav-card-icon svg { stroke: var(--green-400); }
[data-theme="dark"] .nav-card:hover .nav-card-icon svg { stroke: #fff; }
.nav-card-label {
  font-size: 10px; font-weight: 700; letter-spacing: 1px;
  text-transform: uppercase; color: var(--green-500); margin-bottom: 5px;
}
.nav-card-title {
  font-size: 19px; font-weight: 700; color: var(--text-primary);
  margin-bottom: 7px; letter-spacing: -0.3px; line-height: 1.2;
}
.nav-card-desc { font-size: 12.5px; color: var(--text-muted); line-height: 1.6; }
.nav-card-arrow {
  position: absolute; bottom: 22px; right: 22px;
  width: 32px; height: 32px; border-radius: 50%;
  background: var(--green-100); border: 1px solid var(--green-border-soft);
  display: flex; align-items: center; justify-content: center;
  transition: all 0.2s;
}
[data-theme="dark"] .nav-card-arrow { background: rgba(0,200,83,0.1); }
.nav-card:hover .nav-card-arrow {
  background: var(--green-700); border-color: var(--green-700); transform: translateX(4px);
}
.nav-card-arrow svg { stroke: var(--green-600); transition: stroke 0.2s; }
.nav-card:hover .nav-card-arrow svg { stroke: #fff; }
.badge-soon {
  display: inline-flex; align-items: center;
  background: var(--gray-100); border: 1px solid var(--gray-200);
  border-radius: 10px; padding: 2px 8px;
  font-size: 9px; font-weight: 600; color: var(--gray-500);
  margin-left: 6px; vertical-align: middle; font-family: var(--font-mono);
  letter-spacing: 0.5px;
}
[data-theme="dark"] .badge-soon {
  background: rgba(255,255,255,0.04); border-color: rgba(255,255,255,0.08); color: var(--text-muted);
}
/* ── Footer da Home ──────────────────────────────── */
.home-footer {
  padding: 16px 40px; text-align: center;
  font-size: 11px; color: var(--text-muted);
  border-top: 1px solid var(--green-border-soft);
  display: flex; align-items: center; justify-content: center; gap: 12px;
  position: relative; z-index: 1;
  font-family: var(--font-mono); letter-spacing: 0.5px;
}
[data-theme="dark"] .home-footer { border-top-color: rgba(0,230,118,0.08); }
.home-footer-dot { width: 3px; height: 3px; border-radius: 50%; background: var(--green-border); flex-shrink: 0; }
.home-footer-version {
  display: inline-flex; align-items: center; gap: 4px;
  background: rgba(0,200,83,0.08); border: 1px solid var(--green-border-soft);
  border-radius: 8px; padding: 1px 7px;
  font-size: 9px; font-weight: 700; color: var(--green-500); letter-spacing: 1px;
}
/* ═══════════════════════════════════════════════════
   HEADER DAS PÁGINAS INTERNAS
   ═══════════════════════════════════════════════════ */
.page-header {
  display: flex; align-items: center; gap: 16px;
  padding: 14px 32px;
  background: rgba(255,255,255,0.82); backdrop-filter: blur(12px);
  border-bottom: 1px solid var(--green-border-soft);
  position: sticky; top: 0; z-index: 100;
  transition: background 0.3s;
}
[data-theme="dark"] .page-header {
  background: rgba(7,13,9,0.88);
  border-bottom-color: rgba(0,230,118,0.08);
}
.back-btn {
  display: flex; align-items: center; gap: 6px;
  background: none; border: 1px solid var(--border);
  border-radius: var(--radius-sm); padding: 7px 12px;
  font-size: 13px; color: var(--text-secondary);
  cursor: pointer; transition: all var(--tr-fast); font-family: var(--font);
  white-space: nowrap; flex-shrink: 0;
}
.back-btn:hover { border-color: var(--green-border); color: var(--green-700); background: var(--green-100); }
[data-theme="dark"] .back-btn:hover { background: rgba(0,200,83,0.08); color: var(--green-400); }
.page-title    { font-size: 17px; font-weight: 700; color: var(--text-primary); letter-spacing: -0.3px; }
.page-subtitle { font-size: 11.5px; color: var(--text-muted); }
.page-header-right { margin-left: auto; display: flex; align-items: center; gap: 8px; flex-shrink: 0; }
/* ── Ícone btn ───────────────────────────────────── */
.icon-btn {
  background: none; border: 1px solid var(--border);
  border-radius: var(--radius-sm); width: 36px; height: 36px;
  display: flex; align-items: center; justify-content: center;
  cursor: pointer; color: var(--text-secondary); transition: all var(--tr-fast);
}
.icon-btn:hover { background: var(--green-100); border-color: var(--green-border); color: var(--green-700); }
[data-theme="dark"] .icon-btn:hover { background: rgba(0,200,83,0.08); color: var(--green-400); }
.icon-btn svg { width: 16px; height: 16px; fill: none; stroke: currentColor; stroke-width: 2; stroke-linecap: round; stroke-linejoin: round; }
/* Session stats pill */
.session-stats {
  display: none; align-items: center;
  background: var(--chip-bg); border: 1px solid var(--chip-border);
  border-radius: 20px; padding: 3px 10px;
  font-size: 11px; color: var(--text-muted); white-space: nowrap;
}
.session-stats.visible { display: flex; }
/* ═══════════════════════════════════════════════════
   CONTEÚDO DAS PÁGINAS INTERNAS
   ═══════════════════════════════════════════════════ */
.page-content {
  flex: 1; padding: 28px 32px 60px;
  max-width: 1080px; margin: 0 auto; width: 100%;
}
.main-card {
  background: var(--surface); border: 1px solid var(--border);
  border-radius: var(--radius-xl); backdrop-filter: blur(16px);
  box-shadow: var(--shadow-card); overflow: hidden;
}
/* ═══════════════════════════════════════════════════
   INVENTÁRIO — BUSCA
   ═══════════════════════════════════════════════════ */
.search-area {
  padding: 24px 28px 20px;
  border-bottom: 1px solid var(--divider);
}
.search-wrapper { position: relative; }
.search-icon {
  position: absolute; left: 15px; top: 50%; transform: translateY(-50%);
  width: 17px; height: 17px; pointer-events: none; color: var(--text-muted);
}
.search-icon.pulsing { animation: pulseIcon 0.7s ease infinite; }
@keyframes pulseIcon { 0%,100%{transform:translateY(-50%) scale(1);opacity:1} 50%{transform:translateY(-50%) scale(1.3);opacity:.5} }
.ghost-suggestion {
  position: absolute; left: 44px; top: 50%; transform: translateY(-50%);
  font-size: 15px; pointer-events: none; color: var(--text-muted);
  opacity: .45; white-space: nowrap; overflow: hidden;
}
.search-box {
  width: 100%; height: 52px; padding: 0 48px 0 44px;
  font-size: 15px; border-radius: var(--radius-md);
  border: 1.5px solid var(--input-border); outline: none;
  background: var(--input-bg); color: var(--text-primary);
  font-family: var(--font); transition: border-color 0.2s, box-shadow 0.2s, background 0.2s;
}
.search-box::placeholder { color: var(--text-muted); }
.search-box:focus {
  background: var(--surface-solid);
  border-color: var(--input-focus-border);
  box-shadow: 0 0 0 3px var(--input-focus-shadow);
}
.clear-btn {
  position: absolute; right: 12px; top: 50%; transform: translateY(-50%);
  background: var(--input-border); border: none; cursor: pointer;
  color: var(--text-muted); width: 24px; height: 24px; border-radius: 50%;
  display: none; align-items: center; justify-content: center; transition: background 0.15s;
}
.clear-btn:hover { background: var(--item-hover-border); color: #fff; }
.clear-btn.visible { display: flex; }
.ghost-hint { font-size: 11px; color: var(--text-muted); padding: 5px 4px 0; min-height: 18px; }
.ghost-hint .ghost-tab { display: inline-block; background: var(--toggle-bg); border-radius: 4px; padding: 0 5px; font-size: 10px; font-weight: 700; margin-right: 3px; }
.term-pills-wrap { overflow: hidden; max-height: 0; opacity: 0; transition: max-height .25s ease, opacity .25s ease; }
.term-pills-wrap.open { max-height: 80px; opacity: 1; margin-top: 10px; }
.term-pills-inner { display: flex; flex-wrap: wrap; gap: 6px; align-items: center; }
.term-pill {
  display: inline-flex; align-items: center; gap: 5px;
  padding: 3px 8px 3px 10px; border-radius: 12px;
  font-size: 11px; font-weight: 600;
  background: rgba(21,101,192,.12); color: #1565c0; border: 1px solid rgba(21,101,192,.25);
}
[data-theme="dark"] .term-pill { background: rgba(0,230,118,.10); color: var(--green-400); border-color: rgba(0,230,118,.2); }
.term-pill-x { background: none; border: none; cursor: pointer; color: inherit; opacity: .6; display: flex; align-items: center; padding: 0; }
.term-pill-x:hover { opacity: 1; }
.recents-wrap { margin-top: 14px; }
.recents-header { display: flex; align-items: center; justify-content: space-between; margin-bottom: 8px; }
.recents-label { font-size: 10px; font-weight: 700; letter-spacing: .8px; text-transform: uppercase; color: var(--text-muted); }
.recents { display: flex; flex-wrap: wrap; gap: 6px; }
.chip { display: inline-flex; align-items: center; gap: 5px; background: var(--chip-bg); border: 1px solid var(--chip-border); border-radius: 20px; padding: 4px 6px 4px 9px; font-size: 11.5px; color: var(--green-700); cursor: pointer; transition: background .15s, border-color .15s; }
[data-theme="dark"] .chip { color: var(--green-400); }
.chip:hover { background: var(--item-bg); border-color: var(--item-hover-border); }
.chip-text { max-width: 150px; overflow: hidden; text-overflow: ellipsis; white-space: nowrap; }
.chip-remove { background: none; border: none; cursor: pointer; color: var(--chip-border); padding: 0; display: flex; align-items: center; justify-content: center; border-radius: 50%; width: 16px; height: 16px; transition: color .15s; flex-shrink: 0; }
.chip-remove:hover { color: var(--green-700); }
.clear-all-btn { background: none; border: none; cursor: pointer; font-size: 10px; color: var(--text-muted); padding: 2px 7px; border-radius: 5px; transition: color .15s; font-family: var(--font); }
.clear-all-btn:hover { color: var(--green-700); }
/* ── Resultados / Toolbar ────────────────────────── */
.results-area { padding: 0 28px 28px; }
.toolbar {
  display: flex; align-items: center; justify-content: space-between;
  overflow: hidden; max-height: 0; opacity: 0; margin-bottom: 0;
  transition: max-height .22s, opacity .22s, margin-bottom .22s;
  flex-wrap: wrap; gap: 6px;
}
.toolbar.visible { max-height: 60px; opacity: 1; margin-bottom: 14px; margin-top: 18px; }
.toolbar-left  { display: flex; align-items: center; gap: 10px; flex-wrap: wrap; }
.toolbar-right { display: flex; align-items: center; gap: 5px; flex-wrap: wrap; }
.result-count { font-size: 12px; color: var(--text-muted); }
.result-count strong { color: var(--green-400); font-weight: 600; }
.cache-badge { display: inline-flex; align-items: center; background: rgba(0,230,118,.12); color: var(--green-400); border-radius: 4px; padding: 1px 5px; font-size: 10px; font-weight: 700; margin-left: 4px; }
.resp-time { font-size: 10.5px; color: var(--text-muted); }
.loading { display: none; align-items: center; gap: 7px; font-size: 12px; color: var(--text-muted); }
.loading.visible { display: flex; }
.spinner { width: 12px; height: 12px; border: 2px solid var(--input-border); border-top-color: var(--green-400); border-radius: 50%; animation: spin .65s linear infinite; flex-shrink: 0; }
@keyframes spin { to { transform: rotate(360deg); } }
.view-toggles { display: flex; gap: 3px; }
.view-btn { background: var(--toggle-bg); border: none; cursor: pointer; color: var(--text-muted); width: 30px; height: 30px; border-radius: 8px; display: flex; align-items: center; justify-content: center; transition: background .15s, color .15s; }
.view-btn svg { width: 14px; height: 14px; fill: none; stroke: currentColor; stroke-width: 2; stroke-linecap: round; stroke-linejoin: round; }
.view-btn.active { background: var(--green-700); color: #fff; }
.small-btn { display: flex; align-items: center; gap: 4px; background: var(--toggle-bg); border: none; cursor: pointer; color: var(--text-muted); font-size: 11px; font-weight: 500; padding: 0 9px; height: 30px; border-radius: 8px; white-space: nowrap; transition: background .15s, color .15s; font-family: var(--font); }
.small-btn svg { width: 12px; height: 12px; stroke: currentColor; fill: none; stroke-width: 2; stroke-linecap: round; stroke-linejoin: round; }
.small-btn:hover { background: var(--chip-bg); color: var(--green-700); }
[data-theme="dark"] .small-btn:hover { color: var(--green-400); }
.toolbar-sort { padding: 4px 8px; border-radius: 8px; border: 1px solid var(--input-border); background: var(--input-bg); color: var(--text-secondary); font-size: 11px; outline: none; cursor: pointer; height: 30px; transition: border-color .2s; font-family: var(--font); }
.toolbar-sort:focus { border-color: var(--input-focus-border); }
/* ── Skeleton ─────────────────────────────────────── */
.skeleton-list { display: grid; gap: 8px; }
.skeleton-item { padding: 13px 16px; border-radius: 13px; background: var(--item-bg); border: 1.5px solid var(--item-border); display: flex; align-items: center; gap: 12px; }
.skel-icon { width: 38px; height: 38px; border-radius: 10px; background: var(--divider); flex-shrink: 0; overflow: hidden; }
.skel-body { flex: 1; display: flex; flex-direction: column; gap: 7px; }
.skel-line { height: 12px; border-radius: 6px; background: var(--divider); overflow: hidden; }
.skel-line.short { width: 40%; }
.shimmer { position: relative; overflow: hidden; }
.shimmer::after { content: ''; position: absolute; inset: 0; background: linear-gradient(90deg, transparent 0%, rgba(255,255,255,.4) 50%, transparent 100%); animation: shimmerAnim 1.4s ease infinite; }
[data-theme="dark"] .shimmer::after { background: linear-gradient(90deg, transparent 0%, rgba(0,230,118,.06) 50%, transparent 100%); }
@keyframes shimmerAnim { from { transform: translateX(-100%); } to { transform: translateX(100%); } }
.skel-list { display: flex; flex-direction: column; gap: 10px; }
.skel-item { height: 72px; border-radius: var(--radius-md); border: 1.5px solid var(--item-border); background: linear-gradient(90deg, var(--gray-100) 25%, var(--gray-50) 50%, var(--gray-100) 75%); background-size: 200% 100%; animation: shimmerAnim2 1.4s infinite; }
@keyframes shimmerAnim2 { 0%{background-position:200% 0} 100%{background-position:-200% 0} }
/* ── Itens (inventário) ─────────────────────────── */
.items-list { display: grid; gap: 8px; }
.items-list.view-list { grid-template-columns: 1fr; }
.items-list.view-grid { grid-template-columns: repeat(auto-fill, minmax(270px, 1fr)); }
.item {
  padding: 13px 16px; border-radius: 13px;
  background: var(--item-bg); border: 1.5px solid var(--item-border);
  display: flex; align-items: center; gap: 12px; min-width: 0;
  cursor: pointer; position: relative; overflow: hidden;
  transition: border-color .17s, box-shadow .17s, transform .17s, background .3s;
  animation: slideIn .26s ease both;
}
.item::after { content: ''; position: absolute; inset: 0; background: linear-gradient(135deg, rgba(0,230,118,0) 0%, rgba(0,230,118,.06) 100%); opacity: 0; transition: opacity .17s; pointer-events: none; }
.item:hover::after { opacity: 1; }
.item:hover { border-color: var(--item-hover-border); box-shadow: 0 6px 22px var(--item-hover-shadow); transform: translateY(-2px); }
.item--focused { border-color: var(--input-focus-border) !important; box-shadow: 0 0 0 3px var(--input-focus-shadow), 0 6px 20px var(--item-hover-shadow) !important; transform: translateY(-2px); }
.item.flash { animation: flashCopy .4s ease; }
@keyframes flashCopy { 0%{background:rgba(0,230,118,.2)} 100%{background:var(--item-bg)} }
@keyframes slideIn { from{opacity:0;transform:translateX(-14px) scale(.98)} to{opacity:1;transform:translateX(0) scale(1)} }
.item-icon { width: 36px; height: 36px; background: var(--badge-bg); border-radius: 10px; display: flex; align-items: center; justify-content: center; flex-shrink: 0; }
.item-icon svg { width: 17px; height: 17px; stroke: var(--green-700); fill: none; stroke-width: 1.8; stroke-linecap: round; stroke-linejoin: round; transition: transform .2s; }
[data-theme="dark"] .item-icon svg { stroke: var(--green-400); }
.item:hover .item-icon svg { transform: rotate(-5deg) scale(1.08); }
.item-info { flex: 1; min-width: 0; }
.produto { font-size: 14px; font-weight: 500; color: var(--text-primary); white-space: nowrap; overflow: hidden; text-overflow: ellipsis; }
.produto mark { background: var(--mark-bg); color: var(--mark-color); border-radius: 2px; padding: 0 1px; font-weight: 700; font-style: normal; }
.caixa-badge { display: inline-flex; align-items: center; gap: 4px; background: var(--badge-bg); color: var(--badge-color); border-radius: 6px; padding: 3px 8px; font-size: 11px; font-weight: 500; margin-top: 5px; }
.caixa-badge svg { width: 11px; height: 11px; stroke: currentColor; fill: none; stroke-width: 2; stroke-linecap: round; stroke-linejoin: round; }
.group-header { display: flex; align-items: center; justify-content: space-between; padding: 9px 14px; background: linear-gradient(90deg, rgba(0,230,118,.08), rgba(0,230,118,.03)); border: 1px solid var(--chip-border); border-radius: 11px; cursor: pointer; margin-bottom: 6px; font-size: 12.5px; font-weight: 700; color: var(--green-700); user-select: none; }
[data-theme="dark"] .group-header { color: var(--green-400); }
.group-header:hover { background: linear-gradient(90deg, rgba(0,230,118,.14), rgba(0,230,118,.06)); }
.group-chevron { width: 14px; height: 14px; stroke: currentColor; fill: none; stroke-width: 2.5; stroke-linecap: round; stroke-linejoin: round; transition: transform .25s; flex-shrink: 0; }
.group-chevron.open { transform: rotate(180deg); }
.group-body { overflow: hidden; display: grid; gap: 8px; }
.group-section { margin-bottom: 14px; }
/* ── States ──────────────────────────────────────── */
.state-box { padding: 38px 28px; text-align: center; }
.state-icon { width: 52px; height: 52px; margin: 0 auto 14px; display: flex; align-items: center; justify-content: center; border-radius: 14px; }
.state-title { font-size: 15px; font-weight: 700; color: var(--text-primary); margin-bottom: 5px; }
.state-desc { font-size: 12.5px; color: var(--text-muted); line-height: 1.6; }
.state-hint .state-icon { background: rgba(100,130,220,.08); }
.state-empty .state-icon { background: rgba(255,180,0,.08); }
.state-min .state-icon { background: var(--gray-100); }
[data-theme="dark"] .state-hint .state-icon { background: rgba(0,200,230,.06); }
[data-theme="dark"] .state-empty .state-icon { background: rgba(255,160,0,.06); }
[data-theme="dark"] .state-min .state-icon { background: rgba(0,200,83,.04); }
/* ═══════════════════════════════════════════════════
   VALIDADE — LAYOUT
   ═══════════════════════════════════════════════════ */
.summary-grid { display: grid; grid-template-columns: repeat(3, 1fr); gap: 14px; margin-bottom: 20px; }
.summary-card {
  background: var(--surface); border: 1px solid var(--border);
  border-radius: var(--radius-md); padding: 18px 20px;
  backdrop-filter: blur(10px); box-shadow: var(--shadow-sm);
}
.summary-value { font-size: 28px; font-weight: 800; color: var(--text-primary); letter-spacing: -1px; }
.summary-label { font-size: 12px; color: var(--text-muted); margin-top: 4px; }
.summary-card.attention .summary-value { color: var(--warning); }
.summary-card.critical  .summary-value { color: var(--danger); }
.filtros-bar { display: flex; flex-wrap: wrap; gap: 10px; margin-bottom: 16px; align-items: center; }
.filtros-bar input, .filtros-bar select {
  height: 38px; border: 1.5px solid var(--input-border); border-radius: var(--radius-sm);
  background: var(--surface-solid); color: var(--text-primary); font-size: 13px;
  padding: 0 12px; outline: none; font-family: var(--font); transition: border-color 0.2s, box-shadow 0.2s;
}
.filtros-bar input { flex: 1; min-width: 200px; }
.filtros-bar input:focus, .filtros-bar select:focus {
  border-color: var(--green-500); box-shadow: 0 0 0 2px var(--green-glow);
}
.refresh-btn {
  display: flex; align-items: center; gap: 6px; height: 38px; padding: 0 16px;
  border-radius: var(--radius-sm); border: 1.5px solid var(--border);
  background: var(--surface-solid); color: var(--text-secondary); font-size: 13px;
  cursor: pointer; transition: all var(--tr-fast); font-family: var(--font);
}
.refresh-btn:hover { border-color: var(--green-border); color: var(--green-700); background: var(--green-100); }
.refresh-btn svg { width: 14px; height: 14px; fill: none; stroke: currentColor; stroke-width: 2; stroke-linecap: round; stroke-linejoin: round; }
.val-count-bar { font-size: 12px; color: var(--text-muted); margin-bottom: 12px; }
.val-count-bar strong { color: var(--text-primary); }
.val-grid { display: grid; grid-template-columns: repeat(auto-fill, minmax(300px, 1fr)); gap: 12px; }
.val-card {
  background: var(--surface); border: 1.5px solid var(--border);
  border-radius: var(--radius-md); padding: 16px 18px;
  transition: border-color .17s, box-shadow .17s, transform .17s;
  animation: slideIn .26s ease both;
}
.val-card:hover { border-color: var(--item-hover-border); box-shadow: 0 6px 22px var(--item-hover-shadow); transform: translateY(-2px); }
.val-card.danger  { border-left: 3px solid var(--danger); }
.val-card.warning { border-left: 3px solid var(--warning); }
.val-card.caution { border-left: 3px solid #fdd835; }
.val-card.ok      { border-left: 3px solid var(--green-400); }
.val-card-header { display: flex; align-items: flex-start; justify-content: space-between; gap: 8px; margin-bottom: 8px; }
.val-prod-name { font-size: 14px; font-weight: 700; color: var(--text-primary); flex: 1; line-height: 1.3; }
.val-dias-badge { display: inline-flex; align-items: center; padding: 3px 9px; border-radius: 8px; font-size: 11px; font-weight: 700; white-space: nowrap; flex-shrink: 0; }
.dias-ok      { background: var(--ok-bg); color: var(--ok-color); }
.dias-caution { background: #fff8e1; color: #f57f17; }
.dias-warn    { background: var(--warning-bg); color: var(--warning); }
.dias-crit    { background: var(--danger-bg); color: var(--danger); }
[data-theme="dark"] .dias-caution { background: rgba(253,216,53,.1); }
.val-date     { font-size: 13px; font-weight: 600; color: var(--text-primary); }
.val-lote-eta { font-size: 11px; color: var(--text-muted); margin-top: 2px; }
.val-badges   { display: flex; flex-wrap: wrap; gap: 5px; margin-top: 8px; }
.badge { display: inline-flex; align-items: center; padding: 2px 8px; border-radius: 6px; font-size: 10.5px; font-weight: 600; }
.badge-ok     { background: var(--ok-bg); color: var(--ok-color); }
.badge-warn   { background: var(--warning-bg); color: var(--warning); }
.badge-crit   { background: var(--danger-bg); color: var(--danger); }
.badge-temos  { background: rgba(0,230,118,.10); color: var(--green-700); }
.badge-falta  { background: var(--danger-bg); color: var(--danger); }
.badge-produzir { background: rgba(245,127,23,.10); color: #f57f17; }
[data-theme="dark"] .badge-temos   { background: rgba(0,230,118,.12); color: var(--green-400); }
[data-theme="dark"] .badge-falta   { background: rgba(198,40,40,.15); color: #ef5350; }
[data-theme="dark"] .badge-produzir{ background: rgba(245,127,23,.12); color: #ffb74d; }
.val-obs { font-size: 11px; color: var(--text-muted); font-style: italic; margin-top: 8px; padding-top: 8px; border-top: 1px solid var(--divider); }
/* ═══════════════════════════════════════════════════
   TOAST
   ═══════════════════════════════════════════════════ */
.toast-wrap {
  position: fixed; bottom: 24px; left: 50%; transform: translateX(-50%);
  z-index: 9999; display: flex; flex-direction: column-reverse; align-items: center; gap: 8px;
  pointer-events: none;
}
.toast {
  display: inline-flex; align-items: center; gap: 8px;
  background: var(--gray-800); color: #fff;
  padding: 10px 18px; border-radius: 24px;
  font-size: 13px; font-weight: 500;
  box-shadow: 0 4px 20px rgba(0,0,0,0.25);
  animation: tIn .24s ease; white-space: nowrap;
  pointer-events: auto;
}
.toast.err  { background: #c62828; }
.toast.copy { background: linear-gradient(135deg, #1565c0, #1976d2); }
.toast svg  { width: 15px; height: 15px; fill: none; stroke: currentColor; stroke-width: 2.5; stroke-linecap: round; flex-shrink: 0; }
@keyframes tIn  { from{opacity:0;transform:translateY(12px) scale(.9)} to{opacity:1;transform:none} }
@keyframes tOut { from{opacity:1;transform:none} to{opacity:0;transform:translateY(8px) scale(.92)} }
.toast.gone { animation: tOut .2s ease forwards; }
/* ═══════════════════════════════════════════════════
   SCROLL TO TOP
   ═══════════════════════════════════════════════════ */
.scroll-top {
  position: fixed; bottom: 24px; right: 24px;
  width: 42px; height: 42px; background: var(--green-700); color: #fff;
  border: none; border-radius: 50%; cursor: pointer;
  display: flex; align-items: center; justify-content: center;
  box-shadow: 0 4px 16px rgba(0,230,118,0.3);
  opacity: 0; pointer-events: none; transform: translateY(16px);
  transition: all .25s; z-index: 800;
}
.scroll-top.on { opacity: 1; pointer-events: auto; transform: translateY(0); }
.scroll-top:hover { transform: translateY(-3px) !important; }
#confetti { position: fixed; inset: 0; pointer-events: none; z-index: 7000; }
/* ═══════════════════════════════════════════════════
   SHORTCUTS OVERLAY
   ═══════════════════════════════════════════════════ */
.ov-bg {
  position: fixed; inset: 0; background: rgba(0,0,0,0.55); backdrop-filter: blur(6px);
  z-index: 9998; display: flex; align-items: center; justify-content: center;
  opacity: 0; pointer-events: none; transition: opacity .2s;
}
.ov-bg.on { opacity: 1; pointer-events: auto; }
.ov-card {
  background: var(--surface-solid); border: 1px solid var(--border);
  border-radius: var(--radius-lg); padding: 28px 32px; max-width: 400px; width: 90%;
  box-shadow: var(--shadow-lg); transform: scale(0.94); transition: transform .2s;
  max-height: 85vh; overflow-y: auto;
}
.ov-bg.on .ov-card { transform: scale(1); }
.ov-title {
  font-size: 15px; font-weight: 700; color: var(--text-primary);
  margin-bottom: 18px; display: flex; align-items: center; justify-content: space-between;
}
.ov-close { background: none; border: none; cursor: pointer; color: var(--text-muted); width: 26px; height: 26px; border-radius: 7px; display: flex; align-items: center; justify-content: center; transition: background .15s; }
.ov-close:hover { background: var(--gray-100); color: var(--text-primary); }
.sh-row { display: flex; align-items: center; justify-content: space-between; padding: 9px 0; border-bottom: 1px solid var(--divider); font-size: 13px; color: var(--text-secondary); }
.sh-row:last-child { border-bottom: none; }
.sh-row &gt; span:last-child { display: flex; gap: 4px; flex-shrink: 0; }
.kbd {
  display: inline-flex; align-items: center;
  background: var(--kbd-bg); border: 1px solid var(--kbd-border); border-bottom-width: 2px;
  border-radius: 5px; padding: 2px 7px; font-size: 11.5px;
  font-family: var(--font-mono); color: var(--text-secondary); line-height: 1.6;
}
/* ═══════════════════════════════════════════════════
   RESPONSIVIDADE
   ═══════════════════════════════════════════════════ */
@media (max-width: 768px) {
  .home-header { padding: 14px 20px; }
  .home-hero   { padding: 36px 20px 28px; }
  .home-nav-grid { grid-template-columns: 1fr 1fr; gap: 12px; }
  .home-footer { padding: 14px 20px; flex-wrap: wrap; gap: 8px; }
  .nav-card { padding: 18px 16px 52px; }
  .nav-card-title { font-size: 16px; }
  .summary-grid { grid-template-columns: repeat(3, 1fr); gap: 10px; }
  .summary-value { font-size: 22px; }
  .page-content { padding: 20px 16px 50px; }
  .page-header  { padding: 12px 16px; }
  .search-area  { padding: 18px 16px 14px; }
  .results-area { padding: 0 16px 20px; }
  .toolbar.visible { max-height: 100px; }
  .system-status { display: none; }
  .hero-stats { max-width: 100%; }
}
@media (max-width: 480px) {
  .home-nav-grid { grid-template-columns: 1fr; }
  .home-title { font-size: 28px; }
  .summary-grid { grid-template-columns: 1fr; gap: 8px; }
  .filtros-bar { flex-direction: column; }
  .filtros-bar input, .filtros-bar select { width: 100%; }
  .val-grid { grid-template-columns: 1fr; }
  .page-header { flex-wrap: wrap; gap: 10px; }
  .hero-stats { flex-direction: column; }
  .hero-stat-divider { width: auto; height: 1px; margin: 0 16px; }
}
/* ── PRINT ───────────────────────────────────────── */
@media print {
  .home-orb, .home-orb-2, .home-scan, .home-corner,
  .scroll-top, .toast-wrap, .ov-bg, #confetti,
  .page-header-right, .back-btn, .home-header-actions { display: none !important; }
  body::before { display: none; }
  .main-card { box-shadow: none; border: 1px solid #ddd; }
}
&lt;/style&gt;</t>
  </si>
  <si>
    <t>&lt;div id="page-inventario" class="page"&gt;
  &lt;!-- Header interno --&gt;
  &lt;header class="page-header"&gt;
    &lt;button class="back-btn" id="backFromInventario" aria-label="Voltar para Home"&gt;
      &lt;svg viewBox="0 0 24 24" width="14" height="14" fill="none" stroke="currentColor" stroke-width="2.5" stroke-linecap="round" stroke-linejoin="round"&gt;
        &lt;polyline points="15 18 9 12 15 6"/&gt;
      &lt;/svg&gt;
      Home
    &lt;/button&gt;
    &lt;div&gt;
      &lt;div class="page-title"&gt;Inventário&lt;/div&gt;
      &lt;div class="page-subtitle"&gt;Busca de produtos no estoque&lt;/div&gt;
    &lt;/div&gt;
    &lt;div class="page-header-right"&gt;
      &lt;span class="session-stats" id="sessionStats"&gt;&lt;/span&gt;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&lt;div class="main-card"&gt;
      &lt;!-- Busca --&gt;
      &lt;div class="search-area"&gt;
        &lt;div class="search-wrapper"&gt;
          &lt;svg class="search-icon" id="searchIcon" viewBox="0 0 24 24" fill="none" stroke="currentColor" stroke-width="2" stroke-linecap="round" stroke-linejoin="round"&gt;
            &lt;circle cx="11" cy="11" r="7"/&gt;&lt;line x1="21" y1="21" x2="16.65" y2="16.65"/&gt;
          &lt;/svg&gt;
          &lt;span class="ghost-suggestion" id="ghostSuggestion" aria-hidden="true"&gt;&lt;/span&gt;
          &lt;input
            class="search-box" id="searchBox"
            type="search"
            placeholder="Ex: mirra + roll on"
            autocomplete="off" autocorrect="off" spellcheck="false"
            aria-label="Campo de busca"
          &gt;
          &lt;button class="clear-btn" id="clearBtn" aria-label="Limpar busca"&gt;
            &lt;svg viewBox="0 0 24 24" width="12" height="12" fill="none" stroke="currentColor" stroke-width="2.5" stroke-linecap="round"&gt;
              &lt;line x1="18" y1="6" x2="6" y2="18"/&gt;&lt;line x1="6" y1="6" x2="18" y2="18"/&gt;
            &lt;/svg&gt;
          &lt;/button&gt;
        &lt;/div&gt;
        &lt;div class="ghost-hint" id="ghostHint"&gt;&lt;/div&gt;
        &lt;div class="term-pills-wrap" id="termPillsWrap"&gt;
          &lt;div class="term-pills-inner" id="termPills"&gt;&lt;/div&gt;
        &lt;/div&gt;
        &lt;div class="recents-wrap" id="recentsWrap" style="display:none"&gt;
          &lt;div class="recents-header"&gt;
            &lt;span class="recents-label"&gt;Recentes&lt;/span&gt;
            &lt;button class="clear-all-btn" id="clearAllBtn"&gt;Limpar tudo&lt;/button&gt;
          &lt;/div&gt;
          &lt;div class="recents" id="recentsList"&gt;&lt;/div&gt;
        &lt;/div&gt;
      &lt;/div&gt;
      &lt;!-- Resultados --&gt;
      &lt;div class="results-area"&gt;
        &lt;div class="toolbar" id="toolbar"&gt;
          &lt;div class="toolbar-left"&gt;
            &lt;span class="loading" id="loadingIndicator"&gt;
              &lt;span class="spinner"&gt;&lt;/span&gt; Buscando…
            &lt;/span&gt;
            &lt;span class="result-count" id="resultCount"&gt;&lt;/span&gt;
            &lt;span class="resp-time" id="respTime"&gt;&lt;/span&gt;
          &lt;/div&gt;
          &lt;div class="toolbar-right"&gt;
            &lt;select class="toolbar-sort" id="sortSelect"&gt;
              &lt;option value="default"&gt;Padrão&lt;/option&gt;
              &lt;option value="name-az"&gt;Nome A→Z&lt;/option&gt;
              &lt;option value="name-za"&gt;Nome Z→A&lt;/option&gt;
              &lt;option value="box-az"&gt;Caixa A→Z&lt;/option&gt;
            &lt;/select&gt;
            &lt;div class="view-toggles"&gt;
              &lt;button class="view-btn" id="viewList" title="Lista"&gt;
                &lt;svg viewBox="0 0 24 24"&gt;&lt;line x1="8" y1="6" x2="21" y2="6"/&gt;&lt;line x1="8" y1="12" x2="21" y2="12"/&gt;&lt;line x1="8" y1="18" x2="21" y2="18"/&gt;&lt;circle cx="3.5" cy="6" r="1.5" fill="currentColor" stroke="none"/&gt;&lt;circle cx="3.5" cy="12" r="1.5" fill="currentColor" stroke="none"/&gt;&lt;circle cx="3.5" cy="18" r="1.5" fill="currentColor" stroke="none"/&gt;&lt;/svg&gt;
              &lt;/button&gt;
              &lt;button class="view-btn" id="viewGrid" title="Grade"&gt;
                &lt;svg viewBox="0 0 24 24"&gt;&lt;rect x="3" y="3" width="7" height="7" rx="1"/&gt;&lt;rect x="14" y="3" width="7" height="7" rx="1"/&gt;&lt;rect x="3" y="14" width="7" height="7" rx="1"/&gt;&lt;rect x="14" y="14" width="7" height="7" rx="1"/&gt;&lt;/svg&gt;
              &lt;/button&gt;
              &lt;button class="view-btn" id="viewGroup" title="Agrupar por caixa"&gt;
                &lt;svg viewBox="0 0 24 24"&gt;&lt;rect x="3" y="3" width="18" height="5" rx="1"/&gt;&lt;rect x="3" y="10" width="18" height="5" rx="1"/&gt;&lt;rect x="3" y="17" width="18" height="5" rx="1"/&gt;&lt;/svg&gt;
              &lt;/button&gt;
            &lt;/div&gt;
            &lt;button class="small-btn" id="shareBtn" title="Compartilhar URL"&gt;
              &lt;svg viewBox="0 0 24 24"&gt;&lt;circle cx="18" cy="5" r="2"/&gt;&lt;circle cx="6" cy="12" r="2"/&gt;&lt;circle cx="18" cy="19" r="2"/&gt;&lt;line x1="8.59" y1="13.51" x2="15.42" y2="17.49"/&gt;&lt;line x1="15.41" y1="6.51" x2="8.59" y2="10.49"/&gt;&lt;/svg&gt;
              Compartilhar
            &lt;/button&gt;
            &lt;button class="small-btn" id="exportBtn" title="Exportar CSV (Ctrl+E)"&gt;
              &lt;svg viewBox="0 0 24 24"&gt;&lt;path d="M21 15v4a2 2 0 0 1-2 2H5a2 2 0 0 1-2-2v-4"/&gt;&lt;polyline points="7 10 12 15 17 10"/&gt;&lt;line x1="12" y1="15" x2="12" y2="3"/&gt;&lt;/svg&gt;
              CSV
            &lt;/button&gt;
            &lt;button class="small-btn" id="printBtn" title="Imprimir"&gt;
              &lt;svg viewBox="0 0 24 24"&gt;&lt;polyline points="6 9 6 2 18 2 18 9"/&gt;&lt;path d="M6 18H4a2 2 0 0 1-2-2v-5a2 2 0 0 1 2-2h16a2 2 0 0 1 2 2v5a2 2 0 0 1-2 2h-2"/&gt;&lt;rect x="6" y="14" width="12" height="8"/&gt;&lt;/svg&gt;
              Imprimir
            &lt;/button&gt;
          &lt;/div&gt;
        &lt;/div&gt;
        &lt;div id="content"&gt;&lt;/div&gt;
      &lt;/div&gt;
    &lt;/div&gt;
  &lt;/div&gt;
&lt;/div&gt;</t>
  </si>
  <si>
    <t>&lt;div id="page-validade" class="page"&gt;
  &lt;!-- Header interno --&gt;
  &lt;header class="page-header"&gt;
    &lt;button class="back-btn" id="backFromValidade" aria-label="Voltar para Home"&gt;
      &lt;svg viewBox="0 0 24 24" width="14" height="14" fill="none" stroke="currentColor" stroke-width="2.5" stroke-linecap="round" stroke-linejoin="round"&gt;
        &lt;polyline points="15 18 9 12 15 6"/&gt;
      &lt;/svg&gt;
      Home
    &lt;/button&gt;
    &lt;div&gt;
      &lt;div class="page-title"&gt;Validade&lt;/div&gt;
      &lt;div class="page-subtitle"&gt;Controle de prazos e vencimentos&lt;/div&gt;
    &lt;/div&gt;
    &lt;div class="page-header-right"&gt;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 Summary cards --&gt;
    &lt;div class="summary-grid"&gt;
      &lt;div class="summary-card"&gt;
        &lt;div class="summary-value" id="val-total"&gt;—&lt;/div&gt;
        &lt;div class="summary-label"&gt;Total de produtos&lt;/div&gt;
      &lt;/div&gt;
      &lt;div class="summary-card attention"&gt;
        &lt;div class="summary-value" id="val-atencao"&gt;—&lt;/div&gt;
        &lt;div class="summary-label"&gt;Atenção (≤90 dias)&lt;/div&gt;
      &lt;/div&gt;
      &lt;div class="summary-card critical"&gt;
        &lt;div class="summary-value" id="val-critico"&gt;—&lt;/div&gt;
        &lt;div class="summary-label"&gt;Crítico / Vencido&lt;/div&gt;
      &lt;/div&gt;
    &lt;/div&gt;
    &lt;!-- Filtros --&gt;
    &lt;div class="filtros-bar"&gt;
      &lt;input
        type="search"
        id="val-search"
        placeholder="Buscar produto…"
        autocomplete="off"
      &gt;
      &lt;select id="val-sort"&gt;
        &lt;option value="nearest"&gt;Validade (mais próxima)&lt;/option&gt;
        &lt;option value="farthest"&gt;Validade (mais distante)&lt;/option&gt;
        &lt;option value="name"&gt;Produto A–Z&lt;/option&gt;
        &lt;option value="days"&gt;Dias restantes&lt;/option&gt;
      &lt;/select&gt;
      &lt;select id="val-filter"&gt;
        &lt;option value="all"&gt;Todos os status&lt;/option&gt;
        &lt;option value="ok"&gt;OK&lt;/option&gt;
        &lt;option value="atencao"&gt;Atenção&lt;/option&gt;
        &lt;option value="critico"&gt;Crítico&lt;/option&gt;
        &lt;option value="vencido"&gt;Vencido&lt;/option&gt;
      &lt;/select&gt;
      &lt;button class="refresh-btn" id="val-refresh"&gt;
        &lt;svg viewBox="0 0 24 24" width="14" height="14" fill="none" stroke="currentColor" stroke-width="2" stroke-linecap="round" stroke-linejoin="round"&gt;
          &lt;polyline points="1 4 1 10 7 10"/&gt;
          &lt;path d="M3.51 15a9 9 0 1 0 .49-3.25"/&gt;
        &lt;/svg&gt;
        Atualizar
      &lt;/button&gt;
    &lt;/div&gt;
    &lt;div class="val-count-bar" id="val-count-bar"&gt;&lt;/div&gt;
    &lt;!-- Skeleton loader --&gt;
    &lt;div id="val-skel" style="display:none" class="skel-list"&gt;
      &lt;div class="skel-item shimmer"&gt;&lt;/div&gt;
      &lt;div class="skel-item shimmer"&gt;&lt;/div&gt;
      &lt;div class="skel-item shimmer"&gt;&lt;/div&gt;
    &lt;/div&gt;
    &lt;!-- Grid de cards de validade --&gt;
    &lt;div id="val-results" class="val-grid"&gt;&lt;/div&gt;
  &lt;/div&gt;
&lt;/div&gt;</t>
  </si>
  <si>
    <t>&lt;script&gt;
(function() {
'use strict';
/* ═══════════════════════════════════════════════════
   CONSTANTES
   ═══════════════════════════════════════════════════ */
var THEME_KEY = 'inv_theme';
var REC_KEY   = 'inv_rec_v3';
var VIEW_KEY  = 'inv_view';
var SORT_KEY  = 'inv_sort';
var MAX_REC   = 8;
/* ═══════════════════════════════════════════════════
   UTILS
   ═══════════════════════════════════════════════════ */
function escHtml(s) {
  return String(s)
    .replace(/&amp;/g,'&amp;amp;')
    .replace(/&lt;/g,'&amp;lt;')
    .replace(/&gt;/g,'&amp;gt;')
    .replace(/"/g,'&amp;quot;');
}
function highlight(text, terms) {
  var safe = escHtml(text);
  terms.forEach(function(t) {
    if (!t) return;
    var re = new RegExp('('+t.replace(/[.*+?^${}()|[\]\\]/g,'\\$&amp;')+')','gi');
    safe = safe.replace(re,'&lt;mark&gt;$1&lt;/mark&gt;');
  });
  return safe;
}
function qs(sel, ctx)  { return (ctx||document).querySelector(sel); }
function qsa(sel, ctx) { return Array.prototype.slice.call((ctx||document).querySelectorAll(sel)); }
function fmtDate(str) {
  if (!str) return '';
  if (/^\d{2}\/\d{2}\/\d{4}$/.test(str)) return str;
  var d = new Date(str);
  if (isNaN(d.getTime())) return str;
  return ('0'+d.getDate()).slice(-2)+'/'+('0'+(d.getMonth()+1)).slice(-2)+'/'+d.getFullYear();
}
/* ═══════════════════════════════════════════════════
   TOAST
   ═══════════════════════════════════════════════════ */
function toast(msg, type) {
  var wrap = qs('#toastWrap');
  if (!wrap) return;
  var icons = {
    ok:   '&lt;svg viewBox="0 0 24 24"&gt;&lt;polyline points="20 6 9 17 4 12"/&gt;&lt;/svg&gt;',
    copy: '&lt;svg viewBox="0 0 24 24"&gt;&lt;rect x="9" y="9" width="13" height="13" rx="2"/&gt;&lt;path d="M5 15H4a2 2 0 0 1-2-2V4a2 2 0 0 1 2-2h9a2 2 0 0 1 2 2v1"/&gt;&lt;/svg&gt;',
    err:  '&lt;svg viewBox="0 0 24 24"&gt;&lt;circle cx="12" cy="12" r="9"/&gt;&lt;line x1="12" y1="8" x2="12" y2="12"/&gt;&lt;line x1="12" y1="16" x2="12.01" y2="16"/&gt;&lt;/svg&gt;'
  };
  var t = document.createElement('div');
  t.className = 'toast' + (type === 'err' ? ' err' : type === 'copy' ? ' copy' : '');
  t.innerHTML = (icons[type]||icons.ok) + escHtml(msg);
  wrap.appendChild(t);
  setTimeout(function() {
    t.classList.add('gone');
    setTimeout(function() { if (t.parentNode) t.parentNode.removeChild(t); }, 220);
  }, 2600);
}
/* ═══════════════════════════════════════════════════
   TEMA
   ═══════════════════════════════════════════════════ */
var THEME = {
  current: localStorage.getItem(THEME_KEY) || 'light',
  apply: function(t) {
    THEME.current = t;
    document.documentElement.setAttribute('data-theme', t);
    localStorage.setItem(THEME_KEY, t);
    var isDark  = (t === 'dark');
    var moonSvg = '&lt;path d="M21 12.79A9 9 0 1 1 11.21 3 7 7 0 0 0 21 12.79z"/&gt;';
    var sunSvg  = '&lt;circle cx="12" cy="12" r="4"/&gt;&lt;line x1="12" y1="2" x2="12" y2="4"/&gt;&lt;line x1="12" y1="20" x2="12" y2="22"/&gt;&lt;line x1="4.22" y1="4.22" x2="5.64" y2="5.64"/&gt;&lt;line x1="18.36" y1="18.36" x2="19.78" y2="19.78"/&gt;&lt;line x1="2" y1="12" x2="4" y2="12"/&gt;&lt;line x1="20" y1="12" x2="22" y2="12"/&gt;&lt;line x1="4.22" y1="19.78" x2="5.64" y2="18.36"/&gt;&lt;line x1="18.36" y1="5.64" x2="19.78" y2="4.22"/&gt;';
    qsa('.theme-icon').forEach(function(svg) {
      svg.innerHTML = isDark ? sunSvg : moonSvg;
    });
  },
  toggle: function() {
    THEME.apply(THEME.current === 'light' ? 'dark' : 'light');
    toast(THEME.current === 'dark' ? 'Tema escuro ativado' : 'Tema claro ativado', 'ok');
  }
};
/* ═══════════════════════════════════════════════════
   SHORTCUTS OVERLAY
   ═══════════════════════════════════════════════════ */
var OVERLAY = {
  open:   function() { var o = qs('#shortcutsOverlay'); if (o) o.classList.add('on'); },
  close:  function() { var o = qs('#shortcutsOverlay'); if (o) o.classList.remove('on'); },
  isOpen: function() { var o = qs('#shortcutsOverlay'); return o &amp;&amp; o.classList.contains('on'); }
};
qs('#overlayClose').addEventListener('click', OVERLAY.close);
qs('#shortcutsOverlay').addEventListener('click', function(e) {
  if (e.target === qs('#shortcutsOverlay')) OVERLAY.close();
});
/* ═══════════════════════════════════════════════════
   ROUTER — navegação entre páginas
   ═══════════════════════════════════════════════════ */
var ROUTER = {
  current: null,
  navigate: function(pageId) {
    if (ROUTER.current === pageId) return;
    if (ROUTER.current) {
      var oldEl = qs('#page-' + ROUTER.current);
      if (oldEl) oldEl.classList.remove('active');
      if (PAGES[ROUTER.current] &amp;&amp; PAGES[ROUTER.current].destroy) {
        PAGES[ROUTER.current].destroy();
      }
    }
    ROUTER.current = pageId;
    var newEl = qs('#page-' + pageId);
    if (newEl) {
      newEl.style.animation = 'none';
      void newEl.offsetWidth;
      newEl.style.animation = '';
      newEl.classList.add('active');
    }
    if (pageId === 'home') {
      history.replaceState(null, '', window.location.pathname + window.location.search);
    } else {
      window.location.hash = pageId;
    }
    if (PAGES[pageId] &amp;&amp; PAGES[pageId].init) {
      PAGES[pageId].init();
    }
  },
  init: function() {
    var hash = window.location.hash.replace('#', '');
    if (hash.indexOf('q=') === 0) {
      ROUTER.navigate('inventario');
    } else if (hash === 'inventario' || hash === 'validade') {
      ROUTER.navigate(hash);
    } else {
      ROUTER.navigate('home');
    }
  }
};
/* ═══════════════════════════════════════════════════
   HOME
   ═══════════════════════════════════════════════════ */
var HOME = {
  clockTimer: null,
  startClock: function() {
    clearInterval(HOME.clockTimer);
    function tick() {
      var now    = new Date();
      var mesesFull = ['Janeiro','Fevereiro','Março','Abril','Maio','Junho',
                       'Julho','Agosto','Setembro','Outubro','Novembro','Dezembro'];
      var diasFull  = ['Domingo','Segunda','Terça','Quarta','Quinta','Sexta','Sábado'];
      var h = ('0'+now.getHours()).slice(-2);
      var m = ('0'+now.getMinutes()).slice(-2);
      var s = ('0'+now.getSeconds()).slice(-2);
      /* stats strip — relógio com segundos */
      var clockEl = qs('#heroStatClock');
      if (clockEl) clockEl.textContent = h+':'+m+':'+s;
      /* footer — data e hora completa */
      var dateEl = qs('#homeDateTime');
      if (dateEl) dateEl.textContent =
        diasFull[now.getDay()]+', '+now.getDate()+' de '+mesesFull[now.getMonth()]+' · '+h+':'+m;
    }
    tick();
    HOME.clockTimer = setInterval(tick, 1000);
  },
  init:    function() { HOME.startClock(); },
  destroy: function() { clearInterval(HOME.clockTimer); }
};
/* ═══════════════════════════════════════════════════
   APP — estado global
   ═══════════════════════════════════════════════════ */
var APP = {
  sesSearches: 0,
  sesHits:     0,
  recents: (function() {
    try { return JSON.parse(localStorage.getItem(REC_KEY)||'[]'); } catch(e) { return []; }
  })(),
  updateStats: function(term, count) {
    APP.sesSearches++;
    APP.sesHits += count;
    var pill = qs('#sessionStats');
    if (pill) {
      pill.textContent = APP.sesSearches+' busc. · '+APP.sesHits+' ach.';
      pill.classList.add('visible');
    }
  }
};
/* ═══════════════════════════════════════════════════
   SCROLL TO TOP
   ═══════════════════════════════════════════════════ */
function initScrollTop() {
  var btn = qs('#scrollTop');
  if (!btn) return;
  window.addEventListener('scroll', function() {
    btn.classList.toggle('on', window.scrollY &gt; 200);
  });
  btn.addEventListener('click', function() {
    window.scrollTo({ top: 0, behavior: 'smooth' });
  });
}
/* ═══════════════════════════════════════════════════
   PAGE: INVENTÁRIO
   ═══════════════════════════════════════════════════ */
var INV = {
  lastResults:   [],
  lastTerms:     [],
  currentTerms:  [],
  debounceTimer: null,
  focusedIndex:  -1,
  viewMode:  localStorage.getItem(VIEW_KEY) || 'list',
  sortMode:  localStorage.getItem(SORT_KEY) || 'default',
  _eventsAttached: false,
  getCache: function(term) {
    try {
      var r = sessionStorage.getItem('inv_cache_'+term.toLowerCase().trim());
      return r ? JSON.parse(r) : null;
    } catch(e) { return null; }
  },
  setCache: function(term, data) {
    try { sessionStorage.setItem('inv_cache_'+term.toLowerCase().trim(), JSON.stringify(data)); } catch(e) {}
  },
  saveRecent: function(term) {
    if (!term || term.length &lt; 2) return;
    APP.recents = APP.recents.filter(function(r) { return r.term !== term; });
    APP.recents.unshift({ term: term, ts: Date.now() });
    if (APP.recents.length &gt; MAX_REC) APP.recents = APP.recents.slice(0, MAX_REC);
    localStorage.setItem(REC_KEY, JSON.stringify(APP.recents));
  },
  removeRecent: function(term) {
    APP.recents = APP.recents.filter(function(r) { return r.term !== term; });
    localStorage.setItem(REC_KEY, JSON.stringify(APP.recents));
    INV.renderRecentsChips();
  },
  clearAllRecents: function() {
    APP.recents = [];
    localStorage.removeItem(REC_KEY);
    INV.renderRecentsChips();
  },
  renderRecentsChips: function() {
    var wrap = qs('#recentsWrap'), list = qs('#recentsList');
    if (!wrap || !list) return;
    if (!APP.recents.length) { wrap.style.display = 'none'; return; }
    wrap.style.display = '';
    list.innerHTML = '';
    var frag = document.createDocumentFragment();
    APP.recents.forEach(function(r) {
      var chip = document.createElement('span');
      chip.className = 'chip';
      chip.innerHTML =
        '&lt;svg viewBox="0 0 24 24" width="10" height="10" fill="none" stroke="currentColor" stroke-width="2" stroke-linecap="round"&gt;&lt;polyline points="1 4 1 10 7 10"/&gt;&lt;path d="M3.51 15a9 9 0 1 0 .49-3.25"/&gt;&lt;/svg&gt;'+
        '&lt;span class="chip-text"&gt;'+escHtml(r.term)+'&lt;/span&gt;'+
        '&lt;button class="chip-remove" aria-label="Remover '+escHtml(r.term)+'"&gt;&lt;svg viewBox="0 0 24 24" width="10" height="10" fill="none" stroke="currentColor" stroke-width="2.5" stroke-linecap="round"&gt;&lt;line x1="18" y1="6" x2="6" y2="18"/&gt;&lt;line x1="6" y1="6" x2="18" y2="18"/&gt;&lt;/svg&gt;&lt;/button&gt;';
      (function(term) {
        chip.querySelector('.chip-text').addEventListener('click', function() {
          var sb = qs('#searchBox');
          if (sb) { sb.value = term; INV.triggerSearch(term, true); }
        });
        chip.querySelector('.chip-remove').addEventListener('click', function(e) {
          e.stopPropagation(); INV.removeRecent(term);
        });
      })(r.term);
      frag.appendChild(chip);
    });
    list.appendChild(frag);
  },
  renderTermPills: function(terms) {
    INV.currentTerms = terms;
    var wrap = qs('#termPillsWrap'), el = qs('#termPills');
    if (!wrap || !el) return;
    if (terms.length &lt;= 1) { wrap.classList.remove('open'); return; }
    wrap.classList.add('open');
    el.innerHTML = '';
    var frag = document.createDocumentFragment();
    terms.forEach(function(t, i) {
      if (!t) return;
      var pill = document.createElement('span');
      pill.className = 'term-pill';
      pill.innerHTML = escHtml(t)+
        '&lt;button class="term-pill-x"&gt;&lt;svg viewBox="0 0 24 24" width="10" height="10" fill="none" stroke="currentColor" stroke-width="3" stroke-linecap="round"&gt;&lt;line x1="18" y1="6" x2="6" y2="18"/&gt;&lt;line x1="6" y1="6" x2="18" y2="18"/&gt;&lt;/svg&gt;&lt;/button&gt;';
      (function(idx) {
        pill.querySelector('.term-pill-x').addEventListener('click', function() {
          var newVal = INV.currentTerms.filter(function(_,j){return j!==idx;}).join('+');
          var sb = qs('#searchBox'); if (sb) sb.value = newVal;
          INV.triggerSearch(newVal, true);
        });
      })(i);
      frag.appendChild(pill);
    });
    el.appendChild(frag);
  },
  updateGhostSuggestion: function(val) {
    var gs = qs('#ghostSuggestion'), gh = qs('#ghostHint');
    if (!gs || !gh) return;
    if (!val) { gs.textContent = ''; gh.innerHTML = ''; return; }
    var match = null;
    for (var i = 0; i &lt; APP.recents.length; i++) {
      var r = APP.recents[i];
      if (r.term.toLowerCase().indexOf(val.toLowerCase()) === 0 &amp;&amp;
          r.term.toLowerCase() !== val.toLowerCase()) { match = r; break; }
    }
    if (match) {
      gs.textContent = match.term;
      gh.innerHTML = '&lt;span class="ghost-tab"&gt;Tab&lt;/span&gt; para aceitar "'+escHtml(match.term)+'"';
    } else {
      gs.textContent = '';
      gh.innerHTML = val.indexOf('+') !== -1 ? '&lt;span class="ghost-tab"&gt;+&lt;/span&gt; adicione mais termos' : '';
    }
  },
  triggerSearch: function(term, immediate) {
    clearTimeout(INV.debounceTimer);
    INV.debounceTimer = setTimeout(function() { INV.doSearch(term); }, immediate ? 0 : 280);
  },
  doSearch: function(rawTerm) {
    var term = rawTerm.trim();
    if (term.length &lt; 2) { INV.showState('min'); return; }
    var terms = term.split('+').map(function(t){return t.trim();}).filter(Boolean);
    INV.renderTermPills(terms);
    var si = qs('#searchIcon');
    if (si) si.classList.add('pulsing');
    var cached = INV.getCache(term);
    if (cached) {
      if (si) si.classList.remove('pulsing');
      INV.renderResults(cached, terms, true);
      INV.saveRecent(term);
      APP.updateStats(term, cached.length);
      return;
    }
    INV.showSkeleton(4);
    var toolbar = qs('#toolbar'); if (toolbar) toolbar.classList.add('visible');
    var li = qs('#loadingIndicator'); if (li) li.classList.add('visible');
    var rc = qs('#resultCount'); if (rc) rc.innerHTML = '';
    var rt = qs('#respTime'); if (rt) rt.textContent = '';
    INV.focusedIndex = -1;
    var startTime = Date.now();
    google.script.run
      .withSuccessHandler(function(rows) {
        var elapsed = Date.now() - startTime;
        if (si) si.classList.remove('pulsing');
        if (li) li.classList.remove('visible');
        var results = rows || [];
        INV.setCache(term, results);
        INV.saveRecent(term);
        INV.renderResults(results, terms, false, elapsed);
        APP.updateStats(term, results.length);
        window.location.hash = 'q='+encodeURIComponent(term);
        if (results.length === 1) INV.fireConfetti();
      })
      .withFailureHandler(function(err) {
        if (si) si.classList.remove('pulsing');
        if (li) li.classList.remove('visible');
        INV.showState('err', err &amp;&amp; err.message ? err.message : 'Erro ao buscar.');
        toast('Erro: '+(err&amp;&amp;err.message?err.message:'falha'), 'err');
      })
      .buscarProdutosWeb(term);
  },
  sortItems: function(items) {
    if (!items || !items.length) return items;
    var copy = items.slice(), s = INV.sortMode;
    if (s==='name-az') copy.sort(function(a,b){return (a.produto||'').localeCompare(b.produto||'');});
    else if (s==='name-za') copy.sort(function(a,b){return (b.produto||'').localeCompare(a.produto||'');});
    else if (s==='box-az') copy.sort(function(a,b){return (a.caixa||'').localeCompare(b.caixa||'');});
    return copy;
  },
  renderResults: function(rows, terms, fromCache, elapsed) {
    INV.lastResults = rows; INV.lastTerms = terms||[]; INV.focusedIndex = -1;
    var sorted  = INV.sortItems(rows);
    var toolbar = qs('#toolbar'); if (toolbar) toolbar.classList.add('visible');
    var li      = qs('#loadingIndicator'); if (li) li.classList.remove('visible');
    var rc      = qs('#resultCount'), rt = qs('#respTime');
    if (!rows || !rows.length) {
      if (rc) rc.innerHTML = '&lt;strong style="color:var(--text-muted)"&gt;0&lt;/strong&gt; resultado';
      if (rt) rt.textContent = elapsed ? elapsed+'ms' : '';
      INV.showState('empty');
      return;
    }
    if (rc) {
      rc.innerHTML = '';
      var span = document.createElement('span'); span.className = 'result-count';
      var bold = document.createElement('strong'); bold.textContent = '0';
      span.appendChild(bold);
      span.appendChild(document.createTextNode(' '+(rows.length===1?'produto':'produtos')));
      if (fromCache) {
        var b = document.createElement('span'); b.className = 'cache-badge'; b.textContent = '⚡ cache'; span.appendChild(b);
      }
      rc.appendChild(span);
      INV.animateCount(bold, rows.length);
    }
    if (rt) rt.textContent = elapsed ? elapsed+'ms' : '';
    if (INV.viewMode === 'group') {
      INV.renderGroupView(sorted, INV.lastTerms);
    } else {
      var list    = INV.buildItemsList(sorted, INV.lastTerms);
      var content = qs('#content');
      if (content) { content.innerHTML = ''; content.appendChild(list); }
    }
  },
  buildItemsList: function(items, terms) {
    var list = document.createElement('div');
    list.className = 'items-list view-'+INV.viewMode;
    var frag = document.createDocumentFragment();
    items.forEach(function(row, i) { frag.appendChild(INV.buildItem(row, terms, i)); });
    list.appendChild(frag);
    return list;
  },
  buildItem: function(row, terms, idx) {
    var el = document.createElement('div');
    el.className = 'item';
    el.setAttribute('tabindex', '0');
    el.setAttribute('role', 'button');
    el.setAttribute('aria-label', 'Copiar '+(row.produto||''));
    el.style.animationDelay = (idx * 40)+'ms';
    el.innerHTML =
      '&lt;div class="item-icon"&gt;&lt;svg viewBox="0 0 24 24"&gt;&lt;path d="M20 7H4a2 2 0 0 0-2 2v6a2 2 0 0 0 2 2h16a2 2 0 0 0 2-2V9a2 2 0 0 0-2-2z"/&gt;&lt;path d="M16 7V5a2 2 0 0 0-2-2h-4a2 2 0 0 0-2 2v2"/&gt;&lt;/svg&gt;&lt;/div&gt;'+
      '&lt;div class="item-info"&gt;'+
        '&lt;div class="produto"&gt;'+highlight(row.produto||'', terms)+'&lt;/div&gt;'+
        '&lt;div class="caixa-badge"&gt;&lt;svg viewBox="0 0 24 24"&gt;&lt;path d="M21 16V8a2 2 0 0 0-1-1.73l-7-4a2 2 0 0 0-2 0l-7 4A2 2 0 0 0 3 8v8a2 2 0 0 0 1 1.73l7 4a2 2 0 0 0 2 0l7-4A2 2 0 0 0 21 16z"/&gt;&lt;/svg&gt;'+escHtml(row.caixa||'Sem caixa')+'&lt;/div&gt;'+
      '&lt;/div&gt;';
    function copyItem() {
      var text = (row.produto||'') + (row.caixa ? ' | '+row.caixa : '');
      if (navigator.clipboard &amp;&amp; navigator.clipboard.writeText) {
        navigator.clipboard.writeText(text).then(function() {
          el.classList.remove('flash'); void el.offsetWidth; el.classList.add('flash');
          toast('Copiado: '+(row.produto||''), 'copy');
        }).catch(function() { toast('Não foi possível copiar','err'); });
      } else {
        var ta = document.createElement('textarea');
        ta.value = text; ta.style.cssText = 'position:fixed;opacity:0';
        document.body.appendChild(ta); ta.select();
        try { document.execCommand('copy'); toast('Copiado: '+(row.produto||''),'copy'); }
        catch(e) { toast('Não foi possível copiar','err'); }
        if (ta.parentNode) ta.parentNode.removeChild(ta);
      }
    }
    el.addEventListener('click', copyItem);
    el.addEventListener('keydown', function(e) {
      if (e.key==='Enter') copyItem();
      if (e.key==='ArrowDown') { e.preventDefault(); INV.moveFocus(1); }
      if (e.key==='ArrowUp')   { e.preventDefault(); INV.moveFocus(-1); }
    });
    return el;
  },
  renderGroupView: function(items, terms) {
    var groups = {};
    items.forEach(function(r) { var k = r.caixa||'Sem caixa'; if(!groups[k]) groups[k]=[]; groups[k].push(r); });
    var content = qs('#content'); if (!content) return;
    content.innerHTML = '';
    var frag = document.createDocumentFragment(), globalIdx = 0;
    Object.keys(groups).sort().forEach(function(caixa) {
      var gi      = groups[caixa];
      var section = document.createElement('div'); section.className = 'group-section';
      var header  = document.createElement('div'); header.className = 'group-header';
      header.innerHTML = '&lt;span&gt;'+escHtml(caixa)+' &lt;span style="font-weight:400;font-size:11px;opacity:.7"&gt;('+gi.length+')&lt;/span&gt;&lt;/span&gt;&lt;svg class="group-chevron open" viewBox="0 0 24 24"&gt;&lt;polyline points="18 15 12 9 6 15"/&gt;&lt;/svg&gt;';
      var body = document.createElement('div'); body.className = 'group-body';
      var list = document.createElement('div'); list.className = 'items-list view-list';
      var f2   = document.createDocumentFragment();
      gi.forEach(function(r) { f2.appendChild(INV.buildItem(r, terms, globalIdx++)); });
      list.appendChild(f2);
      var collapsed = false;
      header.addEventListener('click', function() {
        collapsed = !collapsed;
        body.style.maxHeight = collapsed ? '0' : '';
        body.style.overflow  = collapsed ? 'hidden' : '';
        header.querySelector('.group-chevron').classList.toggle('open', !collapsed);
      });
      body.appendChild(list); section.appendChild(header); section.appendChild(body);
      frag.appendChild(section);
    });
    content.appendChild(frag);
  },
  moveFocus: function(dir) {
    var items = qsa('.item'); if (!items.length) return;
    INV.focusedIndex += dir;
    if (INV.focusedIndex &lt; -1)           INV.focusedIndex = items.length - 1;
    if (INV.focusedIndex &gt;= items.length) INV.focusedIndex = 0;
    if (INV.focusedIndex === -1) {
      var sb = qs('#searchBox'); if (sb) sb.focus();
      items.forEach(function(it) { it.classList.remove('item--focused'); });
    } else {
      items.forEach(function(it,i) { it.classList.toggle('item--focused', i===INV.focusedIndex); });
      items[INV.focusedIndex].focus();
    }
  },
  showState: function(state, msg) {
    var c = qs('#content'); if (!c) return;
    var tpl = {
      hint:  '&lt;div class="state-box state-hint"&gt;&lt;div class="state-icon"&gt;&lt;svg viewBox="0 0 24 24" width="28" height="28" fill="none" stroke="#7986cb" stroke-width="1.6" stroke-linecap="round" stroke-linejoin="round"&gt;&lt;circle cx="11" cy="11" r="7"/&gt;&lt;line x1="21" y1="21" x2="16.65" y2="16.65"/&gt;&lt;/svg&gt;&lt;/div&gt;&lt;div class="state-title"&gt;Busque no inventário&lt;/div&gt;&lt;div class="state-desc"&gt;Digite ao menos 2 caracteres. Use &lt;strong&gt;+&lt;/strong&gt; para combinar termos. Pressione &lt;span class="kbd"&gt;?&lt;/span&gt; para atalhos.&lt;/div&gt;&lt;/div&gt;',
      min:   '&lt;div class="state-box state-min"&gt;&lt;div class="state-icon"&gt;&lt;svg viewBox="0 0 24 24" width="28" height="28" fill="none" stroke="#ccc" stroke-width="1.6" stroke-linecap="round"&gt;&lt;circle cx="11" cy="11" r="7"/&gt;&lt;line x1="21" y1="21" x2="16.65" y2="16.65"/&gt;&lt;/svg&gt;&lt;/div&gt;&lt;div class="state-title"&gt;Continue digitando…&lt;/div&gt;&lt;div class="state-desc"&gt;São necessários ao menos 2 caracteres.&lt;/div&gt;&lt;/div&gt;',
      empty: '&lt;div class="state-box state-empty"&gt;&lt;div class="state-icon"&gt;&lt;svg viewBox="0 0 24 24" width="28" height="28" fill="none" stroke="#ffb300" stroke-width="1.6" stroke-linecap="round"&gt;&lt;circle cx="11" cy="11" r="7"/&gt;&lt;line x1="21" y1="21" x2="16.65" y2="16.65"/&gt;&lt;/svg&gt;&lt;/div&gt;&lt;div class="state-title"&gt;Nenhum produto encontrado&lt;/div&gt;&lt;div class="state-desc"&gt;Tente outros termos ou verifique a ortografia.&lt;/div&gt;&lt;/div&gt;',
      err:   '&lt;div class="state-box state-empty"&gt;&lt;div class="state-icon"&gt;&lt;svg viewBox="0 0 24 24" width="28" height="28" fill="none" stroke="#e53935" stroke-width="1.6" stroke-linecap="round"&gt;&lt;circle cx="12" cy="12" r="9"/&gt;&lt;line x1="12" y1="8" x2="12" y2="12"/&gt;&lt;line x1="12" y1="16" x2="12.01" y2="16"/&gt;&lt;/svg&gt;&lt;/div&gt;&lt;div class="state-title"&gt;Erro na busca&lt;/div&gt;&lt;div class="state-desc"&gt;'+escHtml(msg||'Ocorreu um erro.')+'&lt;/div&gt;&lt;/div&gt;'
    };
    c.innerHTML = tpl[state] || tpl.hint;
  },
  showSkeleton: function(n) {
    var c = qs('#content'); if (!c) return;
    var sk = document.createElement('div'); sk.className = 'skeleton-list';
    var f  = document.createDocumentFragment();
    for (var i = 0; i &lt; n; i++) {
      var item = document.createElement('div'); item.className = 'skeleton-item';
      item.innerHTML = '&lt;div class="skel-icon shimmer"&gt;&lt;/div&gt;&lt;div class="skel-body"&gt;&lt;div class="skel-line shimmer" style="width:'+(55+Math.floor(Math.random()*35))+'%"&gt;&lt;/div&gt;&lt;div class="skel-line short shimmer"&gt;&lt;/div&gt;&lt;/div&gt;';
      f.appendChild(item);
    }
    sk.appendChild(f); c.innerHTML = ''; c.appendChild(sk);
  },
  exportCSV: function() {
    if (!INV.lastResults || !INV.lastResults.length) { toast('Nada para exportar','err'); return; }
    var rows = [['Produto','Caixa']].concat(INV.lastResults.map(function(r) {
      return ['"'+(r.produto||'').replace(/"/g,'""')+'"', '"'+(r.caixa||'').replace(/"/g,'""')+'"'];
    }));
    var csv  = '\uFEFF' + rows.map(function(r){return r.join(',');}).join('\r\n');
    var blob = new Blob([csv], { type: 'text/csv;charset=utf-8;' });
    var url  = URL.createObjectURL(blob);
    var a    = document.createElement('a'); a.href = url; a.download = 'inventario.csv'; a.style.display = 'none';
    document.body.appendChild(a); a.click();
    setTimeout(function(){ if (a.parentNode) a.parentNode.removeChild(a); URL.revokeObjectURL(url); }, 1000);
    toast('CSV exportado ('+INV.lastResults.length+' itens)', 'ok');
  },
  shareSearch: function() {
    var sb = qs('#searchBox'), term = sb ? sb.value.trim() : '';
    if (!term) { toast('Digite um termo para compartilhar','err'); return; }
    var url = window.location.href.split('#')[0]+'#q='+encodeURIComponent(term);
    if (navigator.clipboard &amp;&amp; navigator.clipboard.writeText) {
      navigator.clipboard.writeText(url).then(function(){ toast('URL copiada','copy'); });
    } else {
      toast('URL: '+url,'copy');
    }
  },
  animateCount: function(el, target) {
    var start = Date.now(), dur = 500;
    function step() {
      var p = Math.min((Date.now()-start)/dur, 1), ease = 1-Math.pow(1-p,3);
      el.textContent = Math.round(ease*target);
      if (p &lt; 1) requestAnimationFrame(step);
    }
    requestAnimationFrame(step);
  },
  fireConfetti: function() {
    var canvas = qs('#confetti'); if (!canvas) return;
    var W = canvas.width  = window.innerWidth;
    var H = canvas.height = window.innerHeight;
    var ctx    = canvas.getContext('2d');
    var colors = ['#43a047','#1565c0','#c2185b','#f9a825','#00838f','#6a1b9a','#00e676'];
    var p = [];
    for (var i = 0; i &lt; 80; i++) {
      p.push({
        x: Math.random()*W, y: -10-Math.random()*60,
        r: 4+Math.random()*5, d: 1.5+Math.random()*2.5,
        color: colors[Math.floor(Math.random()*colors.length)],
        ta: 0, ts: .1+Math.random()*.1,
        shape: Math.random()&gt;.5?'rect':'circle'
      });
    }
    var frame = 0;
    function draw() {
      ctx.clearRect(0,0,W,H);
      p.forEach(function(q){
        q.ta += q.ts; q.y += q.d; q.x += Math.sin(q.ta)*1.2;
        ctx.save(); ctx.translate(q.x,q.y); ctx.rotate(q.ta);
        ctx.fillStyle = q.color; ctx.globalAlpha = Math.max(0,1-q.y/H);
        if (q.shape==='rect') { ctx.fillRect(-q.r/2,-q.r/2,q.r,q.r*.5); }
        else { ctx.beginPath(); ctx.arc(0,0,q.r/2,0,Math.PI*2); ctx.fill(); }
        ctx.restore();
      });
      if (++frame &lt; 140) requestAnimationFrame(draw); else ctx.clearRect(0,0,W,H);
    }
    draw();
  },
  init: function() {
    var sb = qs('#searchBox');
    if (!sb) return;
    if (!INV._eventsAttached) {
      INV._eventsAttached = true;
      var clearBtn      = qs('#clearBtn');
      var toolbar       = qs('#toolbar');
      var termPillsWrap = qs('#termPillsWrap');
      var gs            = qs('#ghostSuggestion');
      sb.addEventListener('input', function() {
        var val = sb.value;
        if (clearBtn) clearBtn.classList.toggle('visible', val.length &gt; 0);
        INV.updateGhostSuggestion(val);
        if (val.length &gt;= 2) {
          INV.triggerSearch(val);
        } else if (val.length === 0) {
          INV.showState('hint');
          if (toolbar) toolbar.classList.remove('visible');
          if (termPillsWrap) termPillsWrap.classList.remove('open');
        } else {
          INV.showState('min');
          if (toolbar) toolbar.classList.remove('visible');
        }
      });
      sb.addEventListener('keydown', function(e) {
        if (e.key === 'Tab') {
          var ghost = gs ? gs.textContent : '';
          if (ghost) { e.preventDefault(); sb.value = ghost; if (gs) gs.textContent = ''; INV.triggerSearch(ghost, true); }
        }
        if (e.key === 'ArrowDown') { e.preventDefault(); INV.moveFocus(1); }
        if (e.key === 'Escape') {
          if (sb.value) {
            sb.value = ''; if (clearBtn) clearBtn.classList.remove('visible');
            if (gs) gs.textContent = ''; var gh = qs('#ghostHint'); if (gh) gh.innerHTML = '';
            INV.showState('hint');
            if (toolbar) toolbar.classList.remove('visible');
            if (termPillsWrap) termPillsWrap.classList.remove('open');
          }
        }
      });
      if (clearBtn) clearBtn.addEventListener('click', function() {
        sb.value = ''; clearBtn.classList.remove('visible');
        if (gs) gs.textContent = ''; var gh = qs('#ghostHint'); if (gh) gh.innerHTML = '';
        INV.showState('hint');
        if (toolbar) toolbar.classList.remove('visible');
        if (termPillsWrap) termPillsWrap.classList.remove('open');
        sb.focus();
      });
      var viewBtns = { list: qs('#viewList'), grid: qs('#viewGrid'), group: qs('#viewGroup') };
      Object.keys(viewBtns).forEach(function(k) {
        var btn = viewBtns[k]; if (!btn) return;
        btn.addEventListener('click', function() {
          INV.viewMode = k; localStorage.setItem(VIEW_KEY, k);
          Object.keys(viewBtns).forEach(function(j){ if (viewBtns[j]) viewBtns[j].classList.toggle('active', j===k); });
          if (INV.lastResults &amp;&amp; INV.lastResults.length) INV.renderResults(INV.lastResults, INV.lastTerms);
        });
      });
      var sortSel = qs('#sortSelect');
      if (sortSel) sortSel.addEventListener('change', function() {
        INV.sortMode = sortSel.value; localStorage.setItem(SORT_KEY, INV.sortMode);
        if (INV.lastResults &amp;&amp; INV.lastResults.length) INV.renderResults(INV.lastResults, INV.lastTerms);
      });
      var exportBtn = qs('#exportBtn'); if (exportBtn) exportBtn.addEventListener('click', INV.exportCSV);
      var printBtn  = qs('#printBtn');  if (printBtn)  printBtn.addEventListener('click', function(){ window.print(); });
      var shareBtn  = qs('#shareBtn');  if (shareBtn)  shareBtn.addEventListener('click', INV.shareSearch);
      var clearAllBtn = qs('#clearAllBtn'); if (clearAllBtn) clearAllBtn.addEventListener('click', INV.clearAllRecents);
    }
    var viewBtns2 = { list: qs('#viewList'), grid: qs('#viewGrid'), group: qs('#viewGroup') };
    Object.keys(viewBtns2).forEach(function(k) {
      if (viewBtns2[k]) viewBtns2[k].classList.toggle('active', k === INV.viewMode);
    });
    var sortSel2 = qs('#sortSelect');
    if (sortSel2) sortSel2.value = INV.sortMode;
    INV.renderRecentsChips();
    var hash = window.location.hash;
    if (hash &amp;&amp; hash.indexOf('q=') === 1) {
      var term = decodeURIComponent(hash.slice(3));
      if (term.length &gt;= 2 &amp;&amp; sb.value !== term) {
        sb.value = term;
        var cb = qs('#clearBtn'); if (cb) cb.classList.add('visible');
        INV.triggerSearch(term, true);
        return;
      }
    }
    if (!sb.value) INV.showState('hint');
  },
  destroy: function() { clearTimeout(INV.debounceTimer); }
};
/* ═══════════════════════════════════════════════════
   PAGE: VALIDADE
   ═══════════════════════════════════════════════════ */
var VAL = {
  data:          null,
  filtered:      [],
  filterQuery:   '',
  filterStatus:  'all',
  sortMode:      localStorage.getItem('val_sort') || 'nearest',
  debounceTimer: null,
  _eventsAttached: false,
  loadData: function(forceRefresh) {
    if (!forceRefresh) {
      try {
        var raw = sessionStorage.getItem('val_cache');
        if (raw) {
          VAL.data = JSON.parse(raw);
          VAL.updateSummary(); VAL.applyFilters();
          var sk = qs('#val-skel'), gr = qs('#val-results');
          if (sk) sk.style.display = 'none'; if (gr) gr.style.display = '';
          return;
        }
      } catch(e) {}
    }
    var sk = qs('#val-skel'), gr = qs('#val-results');
    if (sk) sk.style.display = '';
    if (gr) { gr.style.display = 'none'; gr.innerHTML = ''; }
    google.script.run
      .withSuccessHandler(function(rows) {
        try { sessionStorage.setItem('val_cache', JSON.stringify(rows||[])); } catch(e) {}
        VAL.data = rows || [];
        if (sk) sk.style.display = 'none';
        if (gr) gr.style.display = '';
        VAL.updateSummary(); VAL.applyFilters();
      })
      .withFailureHandler(function(err) {
        if (sk) sk.style.display = 'none';
        if (gr) {
          gr.style.display = '';
          gr.innerHTML = '&lt;div class="state-box state-empty" style="grid-column:1/-1"&gt;&lt;div class="state-icon"&gt;&lt;svg viewBox="0 0 24 24" width="28" height="28" fill="none" stroke="#e53935" stroke-width="1.6" stroke-linecap="round"&gt;&lt;circle cx="12" cy="12" r="9"/&gt;&lt;line x1="12" y1="8" x2="12" y2="12"/&gt;&lt;line x1="12" y1="16" x2="12.01" y2="16"/&gt;&lt;/svg&gt;&lt;/div&gt;&lt;div class="state-title"&gt;Erro ao carregar dados&lt;/div&gt;&lt;div class="state-desc"&gt;'+escHtml(err&amp;&amp;err.message?err.message:'Erro desconhecido.')+'&lt;/div&gt;&lt;/div&gt;';
        }
        toast('Erro ao carregar validades','err');
      })
      .getValidadeData();
  },
  updateSummary: function() {
    if (!VAL.data) return;
    var total   = VAL.data.length;
    var atencao = VAL.data.filter(function(r){ return r.diasRestantes &gt;= 0 &amp;&amp; r.diasRestantes &lt;= 90; }).length;
    var critico = VAL.data.filter(function(r){ return r.diasRestantes &lt; 0; }).length;
    var te = qs('#val-total'), ae = qs('#val-atencao'), ce = qs('#val-critico');
    if (te) te.textContent = total;
    if (ae) ae.textContent = atencao;
    if (ce) ce.textContent = critico;
  },
  applyFilters: function() {
    if (!VAL.data) return;
    var q = VAL.filterQuery.toLowerCase().trim(), st = VAL.filterStatus;
    var result = VAL.data.filter(function(r) {
      if (q &amp;&amp; q.length &gt;= 2 &amp;&amp; r.produto.toLowerCase().indexOf(q) === -1) return false;
      if (st !== 'all') {
        var s = (r.status||'').toLowerCase();
        if (st==='ok'      &amp;&amp; s !== 'ok') return false;
        if (st==='atencao' &amp;&amp; s.indexOf('aten') === -1) return false;
        if (st==='critico' &amp;&amp; s.indexOf('cr')   === -1) return false;
        if (st==='vencido' &amp;&amp; s !== 'vencido') return false;
      }
      return true;
    });
    var sm = VAL.sortMode;
    result = result.slice().sort(function(a,b) {
      if (sm==='nearest'||sm==='days') return a.diasRestantes - b.diasRestantes;
      if (sm==='farthest') return b.diasRestantes - a.diasRestantes;
      if (sm==='name') return (a.produto||'').localeCompare(b.produto||'');
      return 0;
    });
    VAL.filtered = result;
    VAL.renderCards(); VAL.updateCountBar();
  },
  updateCountBar: function() {
    var el = qs('#val-count-bar');
    if (el) el.innerHTML = 'Mostrando &lt;strong&gt;'+VAL.filtered.length+'&lt;/strong&gt; de &lt;strong&gt;'+(VAL.data?VAL.data.length:0)+'&lt;/strong&gt; produtos';
  },
  getCardClass: function(dias) {
    if (dias &lt; 0)   return 'danger';
    if (dias &lt;= 30) return 'warning';
    if (dias &lt;= 90) return 'caution';
    return 'ok';
  },
  getDiasClass: function(dias) {
    if (dias &lt; 0)   return 'dias-crit';
    if (dias &lt;= 30) return 'dias-warn';
    if (dias &lt;= 90) return 'dias-caution';
    return 'dias-ok';
  },
  getStatusClass: function(status) {
    var s = (status||'').toLowerCase();
    if (s === 'ok') return 'badge-ok';
    if (s === 'vencido' || s.indexOf('cr') !== -1) return 'badge-crit';
    return 'badge-warn';
  },
  renderCards: function() {
    var grid = qs('#val-results'); if (!grid) return;
    grid.style.display = '';
    if (!VAL.filtered.length) {
      grid.innerHTML = '&lt;div class="state-box state-empty" style="grid-column:1/-1"&gt;&lt;div class="state-icon"&gt;&lt;svg viewBox="0 0 24 24" width="28" height="28" fill="none" stroke="#ffb300" stroke-width="1.6" stroke-linecap="round"&gt;&lt;circle cx="11" cy="11" r="7"/&gt;&lt;line x1="21" y1="21" x2="16.65" y2="16.65"/&gt;&lt;/svg&gt;&lt;/div&gt;&lt;div class="state-title"&gt;Nenhum produto encontrado&lt;/div&gt;&lt;div class="state-desc"&gt;Tente outros filtros.&lt;/div&gt;&lt;/div&gt;';
      return;
    }
    var frag = document.createDocumentFragment();
    VAL.filtered.forEach(function(r, i) {
      var card = document.createElement('div');
      card.className = 'val-card ' + VAL.getCardClass(r.diasRestantes);
      card.style.animationDelay = Math.min(i*30,300)+'ms';
      var dias      = r.diasRestantes;
      var diasClass = VAL.getDiasClass(dias);
      var diasLabel = dias &lt; 0 ? 'Vencido há '+Math.abs(dias)+'d' : dias+'d restantes';
      var badges = '';
      if (r.status) badges += '&lt;span class="badge '+VAL.getStatusClass(r.status)+'"&gt;'+escHtml(r.status)+'&lt;/span&gt;';
      if (r.estoque) {
        var ec = r.estoque.toUpperCase()==='TEMOS' ? 'badge-temos' : 'badge-falta';
        badges += '&lt;span class="badge '+ec+'"&gt;'+escHtml(r.estoque)+'&lt;/span&gt;';
      }
      if (r.precisaProduzir &amp;&amp; r.precisaProduzir.toUpperCase() !== 'NÃO' &amp;&amp; r.precisaProduzir !== '') {
        badges += '&lt;span class="badge badge-produzir"&gt;Produzir: '+escHtml(r.precisaProduzir)+'&lt;/span&gt;';
      }
      var obs     = r.observacao ? '&lt;div class="val-obs"&gt;'+escHtml(r.observacao)+'&lt;/div&gt;' : '';
      var loteEta = (r.lote ? 'Lote '+escHtml(r.lote) : '')+(r.lote&amp;&amp;r.etiqueta?' · ':'')+(r.etiqueta ? 'Etiq. '+escHtml(r.etiqueta) : '');
      card.innerHTML =
        '&lt;div class="val-card-header"&gt;'+
          '&lt;div class="val-prod-name"&gt;'+escHtml(r.produto)+'&lt;/div&gt;'+
          '&lt;span class="val-dias-badge '+diasClass+'"&gt;'+diasLabel+'&lt;/span&gt;'+
        '&lt;/div&gt;'+
        '&lt;div class="val-date"&gt;'+escHtml(fmtDate(r.validade)||r.validade)+'&lt;/div&gt;'+
        (loteEta ? '&lt;div class="val-lote-eta"&gt;'+loteEta+'&lt;/div&gt;' : '')+
        (badges  ? '&lt;div class="val-badges"&gt;'+badges+'&lt;/div&gt;' : '')+
        obs;
      frag.appendChild(card);
    });
    grid.innerHTML = ''; grid.appendChild(frag);
  },
  init: function() {
    if (!VAL._eventsAttached) {
      VAL._eventsAttached = true;
      var fi = qs('#val-search');
      if (fi) fi.addEventListener('input', function() {
        clearTimeout(VAL.debounceTimer);
        VAL.debounceTimer = setTimeout(function(){ VAL.filterQuery = fi.value; VAL.applyFilters(); }, 280);
      });
      var ss = qs('#val-sort');
      if (ss) {
        ss.value = VAL.sortMode;
        ss.addEventListener('change', function(){
          VAL.sortMode = ss.value; localStorage.setItem('val_sort', VAL.sortMode); VAL.applyFilters();
        });
      }
      var ts = qs('#val-filter');
      if (ts) ts.addEventListener('change', function(){ VAL.filterStatus = ts.value; VAL.applyFilters(); });
      var rb = qs('#val-refresh');
      if (rb) rb.addEventListener('click', function() {
        try { sessionStorage.removeItem('val_cache'); } catch(e) {}
        VAL.data = null; VAL.loadData(true); toast('Atualizando dados…','ok');
      });
    }
    VAL.loadData(false);
  },
  destroy: function() { clearTimeout(VAL.debounceTimer); }
};
/* ═══════════════════════════════════════════════════
   PAGES
   ═══════════════════════════════════════════════════ */
var PAGES = {
  home: {
    label: 'Home',
    init:    function() { HOME.init(); },
    destroy: function() { HOME.destroy(); }
  },
  inventario: {
    label: 'Inventário',
    init:    function() { INV.init(); },
    destroy: function() { INV.destroy(); }
  },
  validade: {
    label: 'Validade',
    init:    function() { VAL.init(); },
    destroy: function() { VAL.destroy(); }
  }
};
/* ═══════════════════════════════════════════════════
   EVENTOS DE NAVEGAÇÃO
   ═══════════════════════════════════════════════════ */
qsa('.nav-card[data-nav]').forEach(function(card) {
  card.addEventListener('click', function() { ROUTER.navigate(card.getAttribute('data-nav')); });
  card.addEventListener('keydown', function(e) {
    if (e.key === 'Enter' || e.key === ' ') { e.preventDefault(); ROUTER.navigate(card.getAttribute('data-nav')); }
  });
});
var backInv = qs('#backFromInventario');
var backVal = qs('#backFromValidade');
if (backInv) backInv.addEventListener('click', function(){ ROUTER.navigate('home'); });
if (backVal) backVal.addEventListener('click', function(){ ROUTER.navigate('home'); });
qsa('.theme-btn').forEach(function(btn) {
  btn.addEventListener('click', THEME.toggle);
});
qsa('.shortcuts-btn').forEach(function(btn) {
  btn.addEventListener('click', OVERLAY.open);
});
/* ═══════════════════════════════════════════════════
   ATALHOS GLOBAIS
   ═══════════════════════════════════════════════════ */
document.addEventListener('keydown', function(e) {
  var tag     = (e.target||{}).tagName;
  var inInput = (tag==='INPUT' || tag==='TEXTAREA' || tag==='SELECT');
  if (e.ctrlKey &amp;&amp; e.key === 'd') {
    e.preventDefault(); THEME.toggle(); return;
  }
  if (e.ctrlKey &amp;&amp; e.key === 'e') {
    e.preventDefault();
    if (ROUTER.current === 'inventario') INV.exportCSV();
    return;
  }
  if (!inInput) {
    if (e.key === 'h' || e.key === 'H') { ROUTER.navigate('home'); return; }
    if (e.key === '1') { ROUTER.navigate('inventario'); return; }
    if (e.key === '2') { ROUTER.navigate('validade'); return; }
    if (e.key === '?') { e.preventDefault(); OVERLAY.open(); return; }
    if (e.key === '/') {
      e.preventDefault();
      if (ROUTER.current !== 'inventario') { ROUTER.navigate('inventario'); return; }
      var sb = qs('#searchBox'); if (sb) sb.focus();
      return;
    }
    if (e.key === 'ArrowUp' &amp;&amp; ROUTER.current === 'inventario') {
      e.preventDefault(); INV.moveFocus(-1); return;
    }
    if (e.key === 'ArrowDown' &amp;&amp; ROUTER.current === 'inventario') {
      e.preventDefault(); INV.moveFocus(1); return;
    }
  }
  if (e.key === 'Escape') {
    if (OVERLAY.isOpen()) { OVERLAY.close(); return; }
    if (ROUTER.current === 'inventario') {
      var sbEsc = qs('#searchBox');
      if (sbEsc &amp;&amp; sbEsc.value) {
        sbEsc.value = '';
        var cb = qs('#clearBtn'); if (cb) cb.classList.remove('visible');
        var gs = qs('#ghostSuggestion'); if (gs) gs.textContent = '';
        var gh = qs('#ghostHint'); if (gh) gh.innerHTML = '';
        INV.showState('hint');
        var tb = qs('#toolbar'); if (tb) tb.classList.remove('visible');
        var tp = qs('#termPillsWrap'); if (tp) tp.classList.remove('open');
      }
    }
  }
});
/* ═══════════════════════════════════════════════════
   INIT
   ═══════════════════════════════════════════════════ */
THEME.apply(THEME.current);
initScrollTop();
ROUTER.init();
})();
&lt;/script&gt;</t>
  </si>
  <si>
    <t>&lt;div id="page-home" class="page home-page active"&gt;
  &lt;!-- Elementos decorativos --&gt;
  &lt;div class="home-orb"   aria-hidden="true"&gt;&lt;/div&gt;
  &lt;div class="home-orb-2" aria-hidden="true"&gt;&lt;/div&gt;
  &lt;div class="home-scan"  aria-hidden="true"&gt;&lt;/div&gt;
  &lt;!-- Cantos decorativos --&gt;
  &lt;svg class="home-corner home-corner-tl" width="32" height="32" viewBox="0 0 32 32" fill="none" aria-hidden="true"&gt;
    &lt;path d="M2 30 L2 2 L30 2" stroke="rgba(0,200,83,0.3)" stroke-width="1.5" fill="none" stroke-linecap="round"/&gt;
    &lt;circle cx="2" cy="2" r="2.5" fill="rgba(0,230,118,0.5)"/&gt;
  &lt;/svg&gt;
  &lt;svg class="home-corner home-corner-br" width="32" height="32" viewBox="0 0 32 32" fill="none" aria-hidden="true"&gt;
    &lt;path d="M2 30 L2 2 L30 2" stroke="rgba(0,200,83,0.3)" stroke-width="1.5" fill="none" stroke-linecap="round"/&gt;
    &lt;circle cx="2" cy="2" r="2.5" fill="rgba(0,230,118,0.5)"/&gt;
  &lt;/svg&gt;
  &lt;!-- ══ HEADER ══════════════════════════════════════ --&gt;
  &lt;header class="home-header"&gt;
    &lt;!-- Logo --&gt;
    &lt;div class="home-logo"&gt;
      &lt;div class="home-logo-icon"&gt;
        &lt;svg viewBox="0 0 24 24" width="20" height="20" fill="none" stroke="#fff" stroke-width="1.8" stroke-linecap="round" stroke-linejoin="round" aria-hidden="true"&gt;
          &lt;path d="M12 22V12"/&gt;
          &lt;path d="M12 12C12 12 7 9 6 5C5 1 12 2 12 2C12 2 19 1 18 5C17 9 12 12 12 12Z"/&gt;
        &lt;/svg&gt;
      &lt;/div&gt;
      &lt;div&gt;
        &lt;div class="home-logo-name"&gt;Essência do Brasil&lt;/div&gt;
        &lt;div class="home-logo-tag"&gt;Sistema de Gestão&lt;/div&gt;
      &lt;/div&gt;
    &lt;/div&gt;
    &lt;!-- Status do sistema (centro) --&gt;
    &lt;div class="system-status" aria-label="Status do sistema: online"&gt;
      &lt;div class="system-status-dot"&gt;&lt;/div&gt;
      Sistema Online
    &lt;/div&gt;
    &lt;!-- Ações --&gt;
    &lt;div class="home-header-actions"&gt;
      &lt;button class="icon-btn theme-btn" id="homeThemeBtn" aria-label="Alternar tema" title="Alternar tema (Ctrl+D)"&gt;
        &lt;svg class="theme-icon" viewBox="0 0 24 24" width="16" height="16" fill="none" stroke="currentColor" stroke-width="2" stroke-linecap="round" stroke-linejoin="round" aria-hidden="true"&gt;
          &lt;path d="M21 12.79A9 9 0 1 1 11.21 3 7 7 0 0 0 21 12.79z"/&gt;
        &lt;/svg&gt;
      &lt;/button&gt;
      &lt;button class="icon-btn shortcuts-btn" aria-label="Atalhos de teclado" title="Atalhos (?)"&gt;
        &lt;svg viewBox="0 0 24 24" width="16" height="16" fill="none" stroke="currentColor" stroke-width="2" stroke-linecap="round" stroke-linejoin="round" aria-hidden="true"&gt;
          &lt;circle cx="12" cy="12" r="9"/&gt;
          &lt;path d="M9.09 9a3 3 0 0 1 5.83 1c0 2-3 3-3 3"/&gt;
          &lt;line x1="12" y1="17" x2="12.01" y2="17"/&gt;
        &lt;/svg&gt;
      &lt;/button&gt;
    &lt;/div&gt;
  &lt;/header&gt;
  &lt;!-- ══ HERO ════════════════════════════════════════ --&gt;
  &lt;main class="home-hero"&gt;
    &lt;!-- Badge de status --&gt;
    &lt;div class="home-hero-badge" role="status"&gt;
      &lt;span class="home-hero-badge-dot"&gt;&lt;/span&gt;
      SISTEMA_OPERACIONAL
    &lt;/div&gt;
    &lt;!-- Título --&gt;
    &lt;h1 class="home-title"&gt;
      Essência do&lt;br&gt;&lt;span&gt;Brasil&lt;/span&gt;
    &lt;/h1&gt;
    &lt;!-- Subtítulo --&gt;
    &lt;p class="home-subtitle"&gt;
      Plataforma integrada de gestão e controle de estoque.
      Acesse módulos de inventário, validade e muito mais.
    &lt;/p&gt;
    &lt;!-- ── Stats strip ─────────────────────────────── --&gt;
    &lt;div class="hero-stats" role="region" aria-label="Métricas do sistema"&gt;
      &lt;!-- Módulos ativos --&gt;
      &lt;div class="hero-stat"&gt;
        &lt;div class="hero-stat-value"&gt;02&lt;/div&gt;
        &lt;div class="hero-stat-label"&gt;Módulos Ativos&lt;/div&gt;
      &lt;/div&gt;
      &lt;div class="hero-stat-divider" aria-hidden="true"&gt;&lt;/div&gt;
      &lt;!-- Relógio ao vivo --&gt;
      &lt;div class="hero-stat"&gt;
        &lt;div class="hero-stat-value clock-val" id="heroStatClock"&gt;--:--:--&lt;/div&gt;
        &lt;div class="hero-stat-label"&gt;Horário&lt;/div&gt;
      &lt;/div&gt;
      &lt;div class="hero-stat-divider" aria-hidden="true"&gt;&lt;/div&gt;
      &lt;!-- Versão --&gt;
      &lt;div class="hero-stat"&gt;
        &lt;div class="hero-stat-value"&gt;v3.1&lt;/div&gt;
        &lt;div class="hero-stat-label"&gt;Versão&lt;/div&gt;
      &lt;/div&gt;
    &lt;/div&gt;
    &lt;!-- ── Grid de módulos ─────────────────────────── --&gt;
    &lt;div class="home-nav-grid" role="navigation" aria-label="Módulos do sistema"&gt;
      &lt;!-- ─ Módulo 01: Inventário ─ --&gt;
      &lt;div class="nav-card" data-nav="inventario" role="button" tabindex="0" aria-label="Abrir módulo Inventário"&gt;
        &lt;!-- scan sweep --&gt;
        &lt;div class="nav-card-scan" aria-hidden="true"&gt;&lt;/div&gt;
        &lt;!-- status --&gt;
        &lt;div class="nav-card-status online" aria-label="Status: online"&gt;
          &lt;div class="nav-card-status-dot"&gt;&lt;/div&gt;
          ONLINE
        &lt;/div&gt;
        &lt;!-- número do módulo --&gt;
        &lt;div class="nav-card-num"&gt;MOD_01&lt;/div&gt;
        &lt;!-- ícone --&gt;
        &lt;div class="nav-card-icon" aria-hidden="true"&gt;
          &lt;svg viewBox="0 0 24 24" width="24" height="24" fill="none" stroke="currentColor" stroke-width="1.8" stroke-linecap="round" stroke-linejoin="round"&gt;
            &lt;path d="M20 7H4a2 2 0 0 0-2 2v6a2 2 0 0 0 2 2h16a2 2 0 0 0 2-2V9a2 2 0 0 0-2-2z"/&gt;
            &lt;path d="M16 7V5a2 2 0 0 0-2-2h-4a2 2 0 0 0-2 2v2"/&gt;
          &lt;/svg&gt;
        &lt;/div&gt;
        &lt;div class="nav-card-label"&gt;Módulo 01&lt;/div&gt;
        &lt;div class="nav-card-title"&gt;Inventário&lt;/div&gt;
        &lt;div class="nav-card-desc"&gt;Busque e localize produtos no estoque por nome ou combinação de termos com precisão.&lt;/div&gt;
        &lt;div class="nav-card-arrow" aria-hidden="true"&gt;
          &lt;svg viewBox="0 0 24 24" width="14" height="14" fill="none" stroke="currentColor" stroke-width="2.5" stroke-linecap="round" stroke-linejoin="round"&gt;
            &lt;line x1="5" y1="12" x2="19" y2="12"/&gt;
            &lt;polyline points="12 5 19 12 12 19"/&gt;
          &lt;/svg&gt;
        &lt;/div&gt;
      &lt;/div&gt;
      &lt;!-- ─ Módulo 02: Validade ─ --&gt;
      &lt;div class="nav-card" data-nav="validade" role="button" tabindex="0" aria-label="Abrir módulo Validade"&gt;
        &lt;div class="nav-card-scan" aria-hidden="true"&gt;&lt;/div&gt;
        &lt;div class="nav-card-status online" aria-label="Status: online"&gt;
          &lt;div class="nav-card-status-dot"&gt;&lt;/div&gt;
          ONLINE
        &lt;/div&gt;
        &lt;div class="nav-card-num"&gt;MOD_02&lt;/div&gt;
        &lt;div class="nav-card-icon" aria-hidden="true"&gt;
          &lt;svg viewBox="0 0 24 24" width="24" height="24" fill="none" stroke="currentColor" stroke-width="1.8" stroke-linecap="round" stroke-linejoin="round"&gt;
            &lt;rect x="3" y="4" width="18" height="18" rx="2" ry="2"/&gt;
            &lt;line x1="16" y1="2" x2="16" y2="6"/&gt;
            &lt;line x1="8"  y1="2" x2="8"  y2="6"/&gt;
            &lt;line x1="3"  y1="10" x2="21" y2="10"/&gt;
          &lt;/svg&gt;
        &lt;/div&gt;
        &lt;div class="nav-card-label"&gt;Módulo 02&lt;/div&gt;
        &lt;div class="nav-card-title"&gt;Validade&lt;/div&gt;
        &lt;div class="nav-card-desc"&gt;Monitore datas de vencimento e identifique produtos próximos do prazo com alertas visuais.&lt;/div&gt;
        &lt;div class="nav-card-arrow" aria-hidden="true"&gt;
          &lt;svg viewBox="0 0 24 24" width="14" height="14" fill="none" stroke="currentColor" stroke-width="2.5" stroke-linecap="round" stroke-linejoin="round"&gt;
            &lt;line x1="5" y1="12" x2="19" y2="12"/&gt;
            &lt;polyline points="12 5 19 12 12 19"/&gt;
          &lt;/svg&gt;
        &lt;/div&gt;
      &lt;/div&gt;
      &lt;!-- ─ Módulo 03: Produção (Em breve) ─ --&gt;
      &lt;div class="nav-card disabled" aria-disabled="true" aria-label="Módulo Produção — em breve"&gt;
        &lt;div class="nav-card-scan" aria-hidden="true"&gt;&lt;/div&gt;
        &lt;div class="nav-card-status" aria-label="Status: em breve"&gt;
          &lt;div class="nav-card-status-dot"&gt;&lt;/div&gt;
          EM BREVE
        &lt;/div&gt;
        &lt;div class="nav-card-num"&gt;MOD_03&lt;/div&gt;
        &lt;div class="nav-card-icon" aria-hidden="true"&gt;
          &lt;svg viewBox="0 0 24 24" width="24" height="24" fill="none" stroke="currentColor" stroke-width="1.8" stroke-linecap="round" stroke-linejoin="round"&gt;
            &lt;rect x="2" y="7" width="20" height="14" rx="2"/&gt;
            &lt;path d="M16 21V5a2 2 0 0 0-2-2h-4a2 2 0 0 0-2 2v16"/&gt;
          &lt;/svg&gt;
        &lt;/div&gt;
        &lt;div class="nav-card-label"&gt;Módulo 03 &lt;span class="badge-soon"&gt;EM BREVE&lt;/span&gt;&lt;/div&gt;
        &lt;div class="nav-card-title"&gt;Produção&lt;/div&gt;
        &lt;div class="nav-card-desc"&gt;Controle de lotes, linha de produção e rastreabilidade.&lt;/div&gt;
      &lt;/div&gt;
      &lt;!-- ─ Módulo 04: Pedidos (Em breve) ─ --&gt;
      &lt;div class="nav-card disabled" aria-disabled="true" aria-label="Módulo Pedidos — em breve"&gt;
        &lt;div class="nav-card-scan" aria-hidden="true"&gt;&lt;/div&gt;
        &lt;div class="nav-card-status" aria-label="Status: em breve"&gt;
          &lt;div class="nav-card-status-dot"&gt;&lt;/div&gt;
          EM BREVE
        &lt;/div&gt;
        &lt;div class="nav-card-num"&gt;MOD_04&lt;/div&gt;
        &lt;div class="nav-card-icon" aria-hidden="true"&gt;
          &lt;svg viewBox="0 0 24 24" width="24" height="24" fill="none" stroke="currentColor" stroke-width="1.8" stroke-linecap="round" stroke-linejoin="round"&gt;
            &lt;circle cx="9"  cy="21" r="1"/&gt;
            &lt;circle cx="20" cy="21" r="1"/&gt;
            &lt;path d="M1 1h4l2.68 13.39a2 2 0 0 0 2 1.61h9.72a2 2 0 0 0 2-1.61L23 6H6"/&gt;
          &lt;/svg&gt;
        &lt;/div&gt;
        &lt;div class="nav-card-label"&gt;Módulo 04 &lt;span class="badge-soon"&gt;EM BREVE&lt;/span&gt;&lt;/div&gt;
        &lt;div class="nav-card-title"&gt;Pedidos&lt;/div&gt;
        &lt;div class="nav-card-desc"&gt;Gestão completa de pedidos, entregas e clientes.&lt;/div&gt;
      &lt;/div&gt;
    &lt;/div&gt;
  &lt;/main&gt;
  &lt;!-- ══ FOOTER ══════════════════════════════════════ --&gt;
  &lt;footer class="home-footer"&gt;
    &lt;span&gt;Essência do Brasil&lt;/span&gt;
    &lt;div class="home-footer-dot" aria-hidden="true"&gt;&lt;/div&gt;
    &lt;span class="home-footer-version"&gt;v3.1&lt;/span&gt;
    &lt;div class="home-footer-dot" aria-hidden="true"&gt;&lt;/div&gt;
    &lt;span id="homeDateTime" aria-live="polite"&gt;&lt;/span&gt;
  &lt;/footer&gt;
&lt;/div&gt;</t>
  </si>
  <si>
    <t>cd apps-script-temp</t>
  </si>
  <si>
    <t>&lt;!DOCTYPE html&gt;
&lt;html lang="pt-BR"&gt;
&lt;head&gt;
  &lt;meta charset="UTF-8"&gt;
  &lt;base target="_top"&gt;
  &lt;style&gt;
    *, *::before, *::after { box-sizing: border-box; margin: 0; padding: 0; }
    body {
      background: #e8eaed;
      font-family: -apple-system, BlinkMacSystemFont, "Segoe UI", Roboto, Arial, sans-serif;
      color: #333;
      min-height: 100vh;
      display: flex;
      justify-content: center;
      align-items: flex-start;
      padding: 48px 16px 72px;
    }
    .container { width: 100%; max-width: 640px; }
    /* ── Header — fora do card ──────────────────────────────────────────────── */
    .header {
      display: flex;
      align-items: center;
      gap: 16px;
      margin-bottom: 20px;
      padding: 0 4px;
    }
    .header-icon {
      width: 52px; height: 52px;
      background: linear-gradient(135deg, #2e7d32, #43a047);
      border-radius: 14px;
      display: flex; align-items: center; justify-content: center;
      flex-shrink: 0;
      box-shadow:
        0 4px 16px rgba(46,125,50,0.38),
        0 1px 4px  rgba(46,125,50,0.22);
    }
    .header-icon svg {
      width: 24px; height: 24px;
      fill: none; stroke: #fff;
      stroke-width: 1.8; stroke-linecap: round; stroke-linejoin: round;
    }
    .title {
      font-size: 22px; font-weight: 700;
      color: #1a1a1a; letter-spacing: -0.4px;
    }
    .subtitle { font-size: 12.5px; color: #888; margin-top: 3px; }
    .kbd {
      display: inline-flex; align-items: center;
      background: rgba(255,255,255,0.75);
      border: 1px solid #ccc; border-bottom-width: 2px;
      border-radius: 4px; padding: 1px 6px;
      font-size: 11px; font-family: monospace; color: #555; line-height: 1.6;
    }
    /* ── Card ───────────────────────────────────────────────────────────────── */
    .card {
      background: #fff;
      border-radius: 22px;
      box-shadow:
        0 1px 3px  rgba(0,0,0,0.06),
        0 6px 20px rgba(0,0,0,0.08),
        0 20px 60px rgba(0,0,0,0.05);
      overflow: hidden;
    }
    /* ── Search area (seção superior com divisória) ─────────────────────────── */
    .search-area {
      padding: 28px 32px;
      border-bottom: 1px solid #f0f0f0;
    }
    .search-wrapper { position: relative; }
    .search-icon {
      position: absolute; left: 14px; top: 50%; transform: translateY(-50%);
      width: 17px; height: 17px; pointer-events: none; color: #b8b8b8;
    }
    .search-box {
      width: 100%;
      padding: 13px 44px 13px 42px;
      font-size: 15px;
      border-radius: 12px;
      border: 1.5px solid #e6e6e6;
      outline: none;
      transition: border-color 0.2s, box-shadow 0.2s, background 0.2s;
      background: #f8f9fa;
      color: #1a1a1a;
    }
    .search-box::placeholder { color: #c0c0c0; }
    .search-box:focus {
      background: #fff;
      border-color: #43a047;
      box-shadow: 0 0 0 3px rgba(67,160,71,0.12);
    }
    .clear-btn {
      position: absolute; right: 11px; top: 50%; transform: translateY(-50%);
      background: #e4e4e4; border: none; cursor: pointer; color: #888;
      width: 24px; height: 24px; border-radius: 50%;
      display: none; align-items: center; justify-content: center;
      transition: background 0.15s, color 0.15s;
    }
    .clear-btn:hover { background: #d0d0d0; color: #333; }
    .clear-btn.visible { display: flex; }
    /* ── Chips de buscas recentes ───────────────────────────────────────────── */
    .recents-wrap { margin-top: 16px; }
    .recents-label {
      font-size: 10.5px; font-weight: 600; letter-spacing: 0.5px;
      text-transform: uppercase; color: #c0c0c0; margin-bottom: 8px;
    }
    .recents { display: flex; flex-wrap: wrap; gap: 6px; }
    .chip {
      display: inline-flex; align-items: center; gap: 5px;
      background: #f1f8f1; border: 1px solid #c8e6c9;
      border-radius: 20px; padding: 4px 6px 4px 9px;
      font-size: 12px; color: #2e7d32; line-height: 1;
      cursor: pointer;
      transition: background 0.15s, border-color 0.15s;
    }
    .chip:hover { background: #e0f2e1; border-color: #a5d6a7; }
    .chip-icon { flex-shrink: 0; opacity: 0.55; display: flex; }
    .chip-text {
      max-width: 140px; overflow: hidden;
      text-overflow: ellipsis; white-space: nowrap;
    }
    .chip-remove {
      background: none; border: none; cursor: pointer;
      color: #a5d6a7; padding: 0;
      display: flex; align-items: center; justify-content: center;
      border-radius: 50%; width: 18px; height: 18px;
      transition: color 0.15s, background 0.15s;
      flex-shrink: 0;
    }
    .chip-remove:hover { color: #2e7d32; background: rgba(46,125,50,0.12); }
    /* ── Área de resultados ─────────────────────────────────────────────────── */
    .results-area { padding: 0 32px 28px; }
    /* ── Status bar (aparece/some com transição) ────────────────────────────── */
    .status-bar {
      display: flex; align-items: center; justify-content: space-between;
      overflow: hidden;
      max-height: 0; opacity: 0; margin-bottom: 0;
      transition: max-height 0.22s ease, opacity 0.22s ease, margin-bottom 0.22s ease;
    }
    .status-bar.visible {
      max-height: 32px; opacity: 1; margin-bottom: 10px;
      margin-top: 20px;
    }
    .result-count { font-size: 12.5px; color: #aaa; }
    .result-count strong { color: #43a047; font-weight: 600; }
    .loading { display: none; align-items: center; gap: 7px; font-size: 12.5px; color: #aaa; }
    .loading.visible { display: flex; }
    .spinner {
      width: 13px; height: 13px;
      border: 2px solid #e0e0e0; border-top-color: #43a047;
      border-radius: 50%; animation: spin 0.65s linear infinite; flex-shrink: 0;
    }
    @keyframes spin { to { transform: rotate(360deg); } }
    /* ── Lista de itens ─────────────────────────────────────────────────────── */
    .items-list { display: flex; flex-direction: column; gap: 7px; }
    .item {
      padding: 12px 14px;
      border-radius: 10px;
      background: #f9fafb;
      border: 1.5px solid #ebebeb;
      display: flex; align-items: center; gap: 12px;
      transition: border-color 0.15s, box-shadow 0.15s, transform 0.15s;
      animation: slideIn 0.2s ease both;
    }
    @keyframes slideIn {
      from { opacity: 0; transform: translateY(8px); }
      to   { opacity: 1; transform: translateY(0); }
    }
    .item:hover {
      border-color: #a5d6a7;
      box-shadow: 0 3px 12px rgba(46,125,50,0.1);
      transform: translateY(-1px);
    }
    .item-icon {
      width: 36px; height: 36px;
      background: #e8f5e9; border-radius: 9px;
      display: flex; align-items: center; justify-content: center; flex-shrink: 0;
    }
    .item-icon svg {
      width: 17px; height: 17px;
      stroke: #2e7d32; fill: none;
      stroke-width: 1.8; stroke-linecap: round; stroke-linejoin: round;
    }
    .item-info { flex: 1; min-width: 0; }
    .produto {
      font-size: 14.5px; font-weight: 500; color: #1a1a1a;
      white-space: nowrap; overflow: hidden; text-overflow: ellipsis;
    }
    .produto mark {
      background: #fff59d; color: inherit;
      border-radius: 2px; padding: 0 1px; font-weight: 600;
    }
    .caixa-badge {
      display: inline-flex; align-items: center; gap: 4px;
      background: #f1f8f1; color: #388e3c;
      border-radius: 5px; padding: 2px 8px;
      font-size: 11.5px; font-weight: 500; margin-top: 4px;
    }
    .caixa-badge svg {
      width: 11px; height: 11px;
      stroke: #388e3c; fill: none;
      stroke-width: 2; stroke-linecap: round; stroke-linejoin: round;
    }
    /* ── Estados visuais (hint / vazio / min-chars) ─────────────────────────── */
    .state {
      text-align: center;
    }
    .state-hint  { padding: 56px 20px 64px; }
    .state-empty { padding: 56px 20px 64px; }
    .state-min   { padding: 32px 20px 40px; }
    .state-icon {
      width: 60px; height: 60px;
      border-radius: 16px;
      margin: 0 auto 16px;
      display: flex; align-items: center; justify-content: center;
    }
    .state-icon svg {
      fill: none;
      stroke-width: 1.5; stroke-linecap: round; stroke-linejoin: round;
    }
    /* hint — azul-lavanda */
    .state-hint .state-icon { background: #f0f4ff; }
    .state-hint .state-icon svg { width: 28px; height: 28px; stroke: #7986cb; }
    /* empty — âmbar */
    .state-empty .state-icon { background: #fff8e1; }
    .state-empty .state-icon svg { width: 28px; height: 28px; stroke: #ffb300; }
    /* min — cinza neutro */
    .state-min .state-icon { background: #f5f5f5; }
    .state-min .state-icon svg { width: 24px; height: 24px; stroke: #ccc; }
    .state-title { font-size: 14.5px; font-weight: 600; color: #999; margin-bottom: 5px; }
    .state-sub   { font-size: 12.5px; color: #c0c0c0; line-height: 1.55; }
    /* ── Erro ───────────────────────────────────────────────────────────────── */
    .error {
      margin-top: 20px;
      padding: 14px 16px;
      background: #fff5f5; border: 1.5px solid #ffcdd2;
      border-radius: 12px; color: #c62828;
      font-size: 13.5px; line-height: 1.4;
      display: flex; align-items: flex-start; gap: 10px;
    }
    .error-icon { flex-shrink: 0; margin-top: 1px; }
    .error-icon svg {
      width: 18px; height: 18px;
      stroke: #c62828; fill: none;
      stroke-width: 2; stroke-linecap: round; stroke-linejoin: round;
    }
  &lt;/style&gt;
&lt;/head&gt;
&lt;body&gt;
  &lt;div class="container"&gt;
    &lt;!-- Header fora do card --&gt;
    &lt;div class="header"&gt;
      &lt;div class="header-icon"&gt;
        &lt;svg viewBox="0 0 24 24"&gt;
          &lt;rect x="2" y="7" width="20" height="14" rx="2"/&gt;
          &lt;path d="M16 7V5a2 2 0 0 0-2-2h-4a2 2 0 0 0-2 2v2"/&gt;
          &lt;line x1="12" y1="12" x2="12" y2="16"/&gt;
          &lt;line x1="10" y1="14" x2="14" y2="14"/&gt;
        &lt;/svg&gt;
      &lt;/div&gt;
      &lt;div&gt;
        &lt;div class="title"&gt;Busca de Inventário&lt;/div&gt;
        &lt;div class="subtitle"&gt;
          Use &lt;span class="kbd"&gt;+&lt;/span&gt; para combinar
          &amp;nbsp;·&amp;nbsp; &lt;span class="kbd"&gt;/&lt;/span&gt; para focar
          &amp;nbsp;·&amp;nbsp; mín. 2 caracteres
        &lt;/div&gt;
      &lt;/div&gt;
    &lt;/div&gt;
    &lt;!-- Card --&gt;
    &lt;div class="card"&gt;
      &lt;!-- Seção de busca com divisória inferior --&gt;
      &lt;div class="search-area"&gt;
        &lt;div class="search-wrapper"&gt;
          &lt;svg class="search-icon" viewBox="0 0 24 24" fill="none" stroke="currentColor"
               stroke-width="2" stroke-linecap="round" stroke-linejoin="round"&gt;
            &lt;circle cx="11" cy="11" r="8"/&gt;
            &lt;line x1="21" y1="21" x2="16.65" y2="16.65"/&gt;
          &lt;/svg&gt;
          &lt;input
            id="search"
            class="search-box"
            type="text"
            placeholder="Ex: mirra + roll on"
            autocomplete="off"
            spellcheck="false"
            autofocus
          &gt;
          &lt;button class="clear-btn" id="clearBtn" title="Limpar" aria-label="Limpar busca"&gt;
            &lt;svg width="10" height="10" viewBox="0 0 24 24" fill="none" stroke="currentColor"
                 stroke-width="3" stroke-linecap="round"&gt;
              &lt;line x1="18" y1="6" x2="6" y2="18"/&gt;
              &lt;line x1="6" y1="6" x2="18" y2="18"/&gt;
            &lt;/svg&gt;
          &lt;/button&gt;
        &lt;/div&gt;
        &lt;div id="recentsWrap" style="display:none"&gt;
          &lt;div class="recents-wrap"&gt;
            &lt;div class="recents-label"&gt;Buscas recentes&lt;/div&gt;
            &lt;div class="recents" id="recents"&gt;&lt;/div&gt;
          &lt;/div&gt;
        &lt;/div&gt;
      &lt;/div&gt;
      &lt;!-- Seção de resultados --&gt;
      &lt;div class="results-area"&gt;
        &lt;div class="status-bar" id="statusBar"&gt;
          &lt;div class="result-count" id="resultCount"&gt;&lt;/div&gt;
          &lt;div class="loading" id="loading"&gt;
            &lt;div class="spinner"&gt;&lt;/div&gt;
            Buscando…
          &lt;/div&gt;
        &lt;/div&gt;
        &lt;div id="results"&gt;&lt;/div&gt;
      &lt;/div&gt;
    &lt;/div&gt;
  &lt;/div&gt;
  &lt;script&gt;
    var RECENTS_KEY = "inv_recents";
    var MAX_RECENTS = 6;
    var debounceTimer = null;
    var searchInput = document.getElementById("search");
    var clearBtn    = document.getElementById("clearBtn");
    var resultsEl   = document.getElementById("results");
    var loadingEl   = document.getElementById("loading");
    var countEl     = document.getElementById("resultCount");
    var statusBar   = document.getElementById("statusBar");
    var recentsEl   = document.getElementById("recents");
    var recentsWrap = document.getElementById("recentsWrap");
    // ── Atalhos de teclado ─────────────────────────────────────────────────────
    document.addEventListener("keydown", function(e) {
      if (e.key === "/" &amp;&amp; document.activeElement !== searchInput) {
        e.preventDefault();
        searchInput.focus();
        searchInput.select();
      }
      if (e.key === "Escape" &amp;&amp; document.activeElement === searchInput) {
        searchInput.blur();
      }
    });
    // ── Eventos do campo ───────────────────────────────────────────────────────
    searchInput.addEventListener("input", onInput);
    clearBtn.addEventListener("click", clearSearch);
    function onInput() {
      var termo = searchInput.value;
      clearBtn.classList.toggle("visible", termo.length &gt; 0);
      clearTimeout(debounceTimer);
      if (!termo.trim())            { showHint();     return; }
      if (termo.trim().length &lt; 2)  { showMinChars(); return; }
      debounceTimer = setTimeout(function() { buscar(termo); }, 300);
    }
    function clearSearch() {
      searchInput.value = "";
      clearBtn.classList.remove("visible");
      showHint();
      searchInput.focus();
    }
    // ── Status bar dinâmica ────────────────────────────────────────────────────
    function showStatusBar() { statusBar.classList.add("visible"); }
    function hideStatusBar() {
      statusBar.classList.remove("visible");
      countEl.innerHTML = "";
    }
    // ── Buscas recentes (localStorage) ────────────────────────────────────────
    function getRecents() {
      try { return JSON.parse(localStorage.getItem(RECENTS_KEY)) || []; }
      catch(e) { return []; }
    }
    function saveRecent(termo) {
      var t = termo.trim();
      if (!t || t.length &lt; 2) return;
      var recents = getRecents().filter(function(r) { return r !== t; });
      recents.unshift(t);
      recents = recents.slice(0, MAX_RECENTS);
      localStorage.setItem(RECENTS_KEY, JSON.stringify(recents));
      renderRecents();
    }
    function removeRecent(termo) {
      var recents = getRecents().filter(function(r) { return r !== termo; });
      localStorage.setItem(RECENTS_KEY, JSON.stringify(recents));
      renderRecents();
    }
    function renderRecents() {
      var recents = getRecents();
      recentsEl.innerHTML = "";
      if (!recents.length) {
        recentsWrap.style.display = "none";
        return;
      }
      recentsWrap.style.display = "block";
      recents.forEach(function(r) {
        var chip = document.createElement("button");
        chip.className = "chip";
        chip.type = "button";
        var iconEl = document.createElement("span");
        iconEl.className = "chip-icon";
        iconEl.innerHTML =
          '&lt;svg width="11" height="11" viewBox="0 0 24 24" fill="none" stroke="currentColor" ' +
              'stroke-width="2" stroke-linecap="round" stroke-linejoin="round"&gt;' +
            '&lt;circle cx="12" cy="12" r="10"/&gt;' +
            '&lt;polyline points="12 6 12 12 16 14"/&gt;' +
          '&lt;/svg&gt;';
        var textEl = document.createElement("span");
        textEl.className = "chip-text";
        textEl.textContent = r;
        var removeBtn = document.createElement("button");
        removeBtn.className = "chip-remove";
        removeBtn.type = "button";
        removeBtn.setAttribute("aria-label", "Remover");
        removeBtn.innerHTML =
          '&lt;svg width="8" height="8" viewBox="0 0 24 24" fill="none" stroke="currentColor" ' +
              'stroke-width="3.5" stroke-linecap="round"&gt;' +
            '&lt;line x1="18" y1="6" x2="6" y2="18"/&gt;' +
            '&lt;line x1="6" y1="6" x2="18" y2="18"/&gt;' +
          '&lt;/svg&gt;';
        removeBtn.addEventListener("click", function(e) {
          e.stopPropagation();
          removeRecent(r);
        });
        chip.addEventListener("click", function() {
          searchInput.value = r;
          clearBtn.classList.add("visible");
          buscar(r);
        });
        chip.appendChild(iconEl);
        chip.appendChild(textEl);
        chip.appendChild(removeBtn);
        recentsEl.appendChild(chip);
      });
    }
    // ── Chamada à API ──────────────────────────────────────────────────────────
    function buscar(termo) {
      setLoading(true);
      showStatusBar();
      resultsEl.innerHTML = "";
      google.script.run
        .withSuccessHandler(function(data) { render(data, termo); })
        .withFailureHandler(onError)
        .buscarProdutosWeb(termo);
    }
    // ── Renderização dos resultados ────────────────────────────────────────────
    function render(data, termo) {
      setLoading(false);
      resultsEl.innerHTML = "";
      if (!data || data.length === 0) {
        hideStatusBar();
        resultsEl.appendChild(buildState("empty"));
        return;
      }
      saveRecent(termo);
      var total = data.length;
      countEl.innerHTML =
        "&lt;strong&gt;" + total + "&lt;/strong&gt; produto" + (total !== 1 ? "s" : "") +
        " encontrado" + (total !== 1 ? "s" : "");
      showStatusBar();
      var palavras = termo.toLowerCase()
        .split("+").map(function(p) { return p.trim(); }).filter(Boolean);
      var list = document.createElement("div");
      list.className = "items-list";
      var fragment = document.createDocumentFragment();
      data.forEach(function(item, i) {
        var div = document.createElement("div");
        div.className = "item";
        div.style.animationDelay = (i * 35) + "ms";
        var iconWrap = document.createElement("div");
        iconWrap.className = "item-icon";
        iconWrap.innerHTML =
          '&lt;svg viewBox="0 0 24 24"&gt;' +
            '&lt;path d="M21 16V8a2 2 0 0 0-1-1.73l-7-4a2 2 0 0 0-2 0l-7 4A2 2 0 0 0 3 8v8' +
                    'a2 2 0 0 0 1 1.73l7 4a2 2 0 0 0 2 0l7-4A2 2 0 0 0 21 16z"/&gt;' +
            '&lt;polyline points="3.27 6.96 12 12.01 20.73 6.96"/&gt;' +
            '&lt;line x1="12" y1="22.08" x2="12" y2="12"/&gt;' +
          '&lt;/svg&gt;';
        var info = document.createElement("div");
        info.className = "item-info";
        var nome = document.createElement("div");
        nome.className = "produto";
        nome.innerHTML = highlight(item.produto, palavras);
        var badge = document.createElement("div");
        badge.className = "caixa-badge";
        badge.innerHTML =
          '&lt;svg viewBox="0 0 24 24"&gt;' +
            '&lt;rect x="1" y="3" width="15" height="13"/&gt;' +
            '&lt;polygon points="16 8 20 8 23 11 23 16 16 16 16 8"/&gt;' +
            '&lt;circle cx="5.5" cy="18.5" r="2.5"/&gt;' +
            '&lt;circle cx="18.5" cy="18.5" r="2.5"/&gt;' +
          '&lt;/svg&gt;';
        badge.appendChild(document.createTextNode(item.caixa));
        info.appendChild(nome);
        info.appendChild(badge);
        div.appendChild(iconWrap);
        div.appendChild(info);
        fragment.appendChild(div);
      });
      list.appendChild(fragment);
      resultsEl.appendChild(list);
    }
    // ── Destaque de termos ─────────────────────────────────────────────────────
    function highlight(text, palavras) {
      var safe = text
        .replace(/&amp;/g, "&amp;amp;")
        .replace(/&lt;/g, "&amp;lt;")
        .replace(/&gt;/g, "&amp;gt;");
      palavras.forEach(function(p) {
        if (!p) return;
        var re = new RegExp(p.replace(/[.*+?^${}()|[\]\\]/g, "\\$&amp;"), "gi");
        safe = safe.replace(re, function(m) { return "&lt;mark&gt;" + m + "&lt;/mark&gt;"; });
      });
      return safe;
    }
    // ── Erro (withFailureHandler) ──────────────────────────────────────────────
    function onError(err) {
      setLoading(false);
      hideStatusBar();
      resultsEl.innerHTML = "";
      var errDiv = document.createElement("div");
      errDiv.className = "error";
      var iconWrap = document.createElement("div");
      iconWrap.className = "error-icon";
      iconWrap.innerHTML =
        '&lt;svg viewBox="0 0 24 24"&gt;' +
          '&lt;path d="M10.29 3.86L1.82 18a2 2 0 0 0 1.71 3h16.94a2 2 0 0 0 1.71-3' +
                  'L13.71 3.86a2 2 0 0 0-3.42 0z"/&gt;' +
          '&lt;line x1="12" y1="9" x2="12" y2="13"/&gt;' +
          '&lt;line x1="12" y1="17" x2="12.01" y2="17"/&gt;' +
        '&lt;/svg&gt;';
      var msg = document.createElement("span");
      msg.textContent = "Erro ao buscar. Verifique sua conexão e tente novamente.";
      errDiv.appendChild(iconWrap);
      errDiv.appendChild(msg);
      resultsEl.appendChild(errDiv);
    }
    // ── Auxiliares ─────────────────────────────────────────────────────────────
    function setLoading(on) { loadingEl.classList.toggle("visible", on); }
    function showHint() {
      hideStatusBar();
      resultsEl.innerHTML = "";
      resultsEl.appendChild(buildState("hint"));
    }
    function showMinChars() {
      hideStatusBar();
      resultsEl.innerHTML = "";
      resultsEl.appendChild(buildState("min"));
    }
    function buildState(type) {
      var wrap = document.createElement("div");
      wrap.className = "state";
      if (type === "hint") {
        wrap.classList.add("state-hint");
        wrap.innerHTML =
          '&lt;div class="state-icon"&gt;' +
            '&lt;svg viewBox="0 0 24 24"&gt;' +
              '&lt;circle cx="11" cy="11" r="8"/&gt;' +
              '&lt;line x1="21" y1="21" x2="16.65" y2="16.65"/&gt;' +
            '&lt;/svg&gt;' +
          '&lt;/div&gt;' +
          '&lt;div class="state-title"&gt;Busca de Inventário&lt;/div&gt;' +
          '&lt;div class="state-sub"&gt;Digite o nome do produto para localizar&lt;/div&gt;';
      } else if (type === "empty") {
        wrap.classList.add("state-empty");
        wrap.innerHTML =
          '&lt;div class="state-icon"&gt;' +
            '&lt;svg viewBox="0 0 24 24"&gt;' +
              '&lt;circle cx="11" cy="11" r="8"/&gt;' +
              '&lt;line x1="21" y1="21" x2="16.65" y2="16.65"/&gt;' +
              '&lt;line x1="8" y1="11" x2="14" y2="11"/&gt;' +
            '&lt;/svg&gt;' +
          '&lt;/div&gt;' +
          '&lt;div class="state-title"&gt;Nenhum produto encontrado&lt;/div&gt;' +
          '&lt;div class="state-sub"&gt;Tente outros termos&lt;br&gt;ou verifique a grafia&lt;/div&gt;';
      } else {
        wrap.classList.add("state-min");
        wrap.innerHTML =
          '&lt;div class="state-icon"&gt;' +
            '&lt;svg viewBox="0 0 24 24"&gt;' +
              '&lt;circle cx="11" cy="11" r="8"/&gt;' +
              '&lt;line x1="21" y1="21" x2="16.65" y2="16.65"/&gt;' +
            '&lt;/svg&gt;' +
          '&lt;/div&gt;' +
          '&lt;div class="state-title"&gt;Digite ao menos 2 caracteres&lt;/div&gt;';
      }
      return wrap;
    }
    // ── Init ───────────────────────────────────────────────────────────────────
    renderRecents();
    showHint();
  &lt;/script&gt;
&lt;/body&gt;
&lt;/html&gt;</t>
  </si>
  <si>
    <t>Por favor, melhore a frase de solicitação de um prompt com esses ajustes.
A versão mobile está pior do que antes, o layout está muito  grande para celular cuja tela é pequena, é preciso adicionar uma versão mobile e se possivel um botão para colocar manualmente nessa versão mobile pois as vezes ela não abre diretamente nessa  versão mobile pelo celular.
Quero ajustar o envio de relatório por e-mail da aba "validade". Quero deixar do mesmo jeito que a aba "inventário", tanto no layout como na funcionalidade e o visual.
No relatório de e-mail de ambas as abas, tanto da aba "validade" quanto da aba "inventário" quero ter a opção de deixar e-mail pré preenchidos, pois serão para alguns e-mails que vou enviar regularmente, então já encomizaria tempo se em vez de eu escrever ele toda vez eu já ter eles no pré preenchimento, assim com um clique e ele já estaria pronto para enviar o relatório. Também quero adicionar a opção de enviar para mais de um e-mail aproveitando o mesmo relatório. Sobre a caixa que aparece para eu colocar o e-mail para onde será enviado o relatório, posicionar no centro do Dashboard, pois quando eu clico, está muito embaixo.
Quero incluir antes do envio do e-mail tanto para a aba "inventário" como para aba "validade" um pré visualização de como será enviado o e-mail, pode tipo uma caixa abrindo mostrando como o email será enviado aí eu visualizava e clicava para enviar.
Sobre o assunto do e-mail que é enviado da aba "inventário" colocar algo do tipo "Essência do Brasil - Para Proddução dos Rótulos...
Sobre o botão de indisponibilidade da etiqueta, ficou bom. Mas ele não está atualizando na planilha na aba "inventário", ele deveria colocar um 0 na célula subsequente do nome encontrado. Mas o que está fazendo somente é adicionar na aba "status_inativos". Pois se não for atualizado também na aba "inventário", quando eu pesquiso novamente ele aparece ainda na busca do meu Dashboard, pois a busca no meu Dashboard leva em consideração a aba "inventário" para trazer o resultado.
Quero criar aba "Sem Etiqueta" no meu Dashboard que será referente a aba "status_inativos" na minha planilha.
Quero também dividir o meu .html "estilos"  pois ele está muito grande, então fica difícil editar, principalmente no futuro, esse tipo de divisão já foi feita antes, mas acabei adicionando mais ajuste que acabou se tornando grande novamente
Sobre o visual da "Lupa" girando 360 graus no meu home, deixar o visual mais realista com detalhes ou adicionando mais elementos futurista ao redor a "Lupa".</t>
  </si>
  <si>
    <t>function include(filename) {
  return HtmlService.createHtmlOutputFromFile(filename).getContent();
}
function doGet() {
  return HtmlService.createTemplateFromFile('index')
    .evaluate()
    .setXFrameOptionsMode(HtmlService.XFrameOptionsMode.ALLOWALL)
    .setTitle('Essência do Brasil — Sistema de Gestão');
}
function buscarProdutosWeb(termoBusca) {
  var ss    = SpreadsheetApp.getActiveSpreadsheet();
  var sheet = ss.getSheetByName("Inventário");
  var dados = sheet.getDataRange().getValues();
  var HEADER_ROW = 0;
  var START_ROW  = 1;
  var palavras = termoBusca
    .toLowerCase()
    .split("+")
    .map(function(p) { return p.trim(); })
    .filter(function(p) { return p; });
  var resultados = [];
  for (var i = START_ROW; i &lt; dados.length; i++) {
    for (var j = 2; j &lt; dados[0].length; j += 2) {
      var produto = dados[i][j];
      var qtd     = dados[i][j + 1];
      var caixa   = dados[HEADER_ROW][j];
      if (!produto || !qtd || qtd &lt;= 0) continue;
      var nome  = produto.toString().toLowerCase();
      var match = palavras.every(function(p) { return nome.indexOf(p) !== -1; });
      if (match) {
        resultados.push({ produto: produto, caixa: caixa });
      }
    }
  }
  return resultados;
}
function enviarRelatorioInativo() {
  var ss    = SpreadsheetApp.getActiveSpreadsheet();
  var sheet = ss.getSheetByName("Validade");
  if (!sheet) return { ok: false, msg: 'Aba "Validade" não encontrada.' };
  var rows     = sheet.getDataRange().getValues();
  var vencidos = [];
  var criticos = [];
  for (var i = 1; i &lt; rows.length; i++) {
    var r = rows[i];
    if (!r[1]) continue;
    var item = {
      produto:       String(r[1]  || ''),
      validade:      String(r[5]  || ''),
      dias:          Number(r[6]) || 0,
      status:        String(r[7]  || ''),
      estoque:       String(r[9]  || ''),
      observacao:    String(r[10] || '')
    };
    if (item.dias &lt; 0)        vencidos.push(item);
    else if (item.dias &lt;= 30) criticos.push(item);
  }
  if (!vencidos.length &amp;&amp; !criticos.length) {
    return { ok: true, msg: 'Nenhum produto crítico ou vencido para reportar.' };
  }
  var tz  = Session.getScriptTimeZone();
  var now = Utilities.formatDate(new Date(), tz, 'dd/MM/yyyy HH:mm');
  function tableRows(list, cor) {
    var out = '';
    for (var k = 0; k &lt; list.length; k++) {
      var p  = list[k];
      var bg = (k % 2 === 0) ? '#fafafa' : '#ffffff';
      out += '&lt;tr style="background:' + bg + '"&gt;' +
             '&lt;td style="padding:8px 10px;color:#333"&gt;'                      + p.produto   + '&lt;/td&gt;' +
             '&lt;td style="padding:8px 10px;text-align:center;color:#555"&gt;'    + p.validade  + '&lt;/td&gt;' +
             '&lt;td style="padding:8px 10px;text-align:center;color:' + cor + ';font-weight:700"&gt;' + p.dias + 'd&lt;/td&gt;' +
             '&lt;td style="padding:8px 10px;text-align:center;color:#555"&gt;'    + p.estoque   + '&lt;/td&gt;' +
             '&lt;/tr&gt;';
    }
    return out;
  }
  var html = '' +
    '&lt;div style="font-family:Arial,sans-serif;max-width:700px;margin:0 auto;background:#f4f4f4;padding:20px"&gt;' +
      '&lt;div style="background:#071a0b;border-radius:12px;padding:24px;margin-bottom:20px"&gt;' +
        '&lt;h1 style="margin:0 0 6px;font-size:22px;color:#00e676"&gt;Essência do Brasil&lt;/h1&gt;' +
        '&lt;p style="margin:0;font-size:11px;color:rgba(0,230,118,0.6);letter-spacing:1px"&gt;RELATÓRIO DE VALIDADE — ' + now + '&lt;/p&gt;' +
      '&lt;/div&gt;';
  if (vencidos.length) {
    html += '' +
      '&lt;div style="background:#fff;border-radius:10px;padding:20px;margin-bottom:16px;border-left:4px solid #c62828"&gt;' +
        '&lt;h2 style="color:#c62828;margin:0 0 14px;font-size:16px"&gt;&amp;#9888; Vencidos (' + vencidos.length + ')&lt;/h2&gt;' +
        '&lt;table style="width:100%;border-collapse:collapse;font-size:13px"&gt;' +
          '&lt;tr style="background:#ffebee"&gt;' +
            '&lt;th style="text-align:left;padding:8px 10px;color:#c62828"&gt;Produto&lt;/th&gt;' +
            '&lt;th style="padding:8px 10px;color:#c62828"&gt;Validade&lt;/th&gt;' +
            '&lt;th style="padding:8px 10px;color:#c62828"&gt;Dias&lt;/th&gt;' +
            '&lt;th style="padding:8px 10px;color:#c62828"&gt;Estoque&lt;/th&gt;' +
          '&lt;/tr&gt;' +
          tableRows(vencidos, '#c62828') +
        '&lt;/table&gt;' +
      '&lt;/div&gt;';
  }
  if (criticos.length) {
    html += '' +
      '&lt;div style="background:#fff;border-radius:10px;padding:20px;margin-bottom:16px;border-left:4px solid #e65100"&gt;' +
        '&lt;h2 style="color:#e65100;margin:0 0 14px;font-size:16px"&gt;&amp;#9888; Críticos — vence em até 30 dias (' + criticos.length + ')&lt;/h2&gt;' +
        '&lt;table style="width:100%;border-collapse:collapse;font-size:13px"&gt;' +
          '&lt;tr style="background:#fff3e0"&gt;' +
            '&lt;th style="text-align:left;padding:8px 10px;color:#e65100"&gt;Produto&lt;/th&gt;' +
            '&lt;th style="padding:8px 10px;color:#e65100"&gt;Validade&lt;/th&gt;' +
            '&lt;th style="padding:8px 10px;color:#e65100"&gt;Dias&lt;/th&gt;' +
            '&lt;th style="padding:8px 10px;color:#e65100"&gt;Estoque&lt;/th&gt;' +
          '&lt;/tr&gt;' +
          tableRows(criticos, '#e65100') +
        '&lt;/table&gt;' +
      '&lt;/div&gt;';
  }
  html += '' +
      '&lt;div style="text-align:center;padding:16px;color:#aaa;font-size:11px"&gt;' +
        'Gerado automaticamente pelo Sistema de Gestão Essência do Brasil' +
      '&lt;/div&gt;' +
    '&lt;/div&gt;';
  var subject = '[Essência do Brasil] Validade — ' +
                vencidos.length + ' vencido(s) · ' +
                criticos.length + ' crítico(s) · ' + now;
  GmailApp.sendEmail(
    Session.getEffectiveUser().getEmail(),
    subject,
    'Este e-mail requer suporte a HTML para ser exibido corretamente.',
    { htmlBody: html }
  );
  return {
    ok:  true,
    msg: 'Relatório enviado: ' + vencidos.length + ' vencido(s) e ' + criticos.length + ' crítico(s).'
  };
}
function getValidadeData() {
  var ss    = SpreadsheetApp.getActiveSpreadsheet();
  var sheet = ss.getSheetByName("Validade");
  if (!sheet) return [];
  var rows   = sheet.getDataRange().getValues();
  var result = [];
  for (var i = 1; i &lt; rows.length; i++) {
    var r = rows[i];
    if (!r[1]) continue;
    result.push({
      codigoBarras:    String(r[0]  || ""),
      produto:         String(r[1]  || ""),
      dataProducao:    String(r[2]  || ""),
      etiqueta:        String(r[3]  || ""),
      lote:            String(r[4]  || ""),
      validade:        String(r[5]  || ""),
      diasRestantes:   Number(r[6]) || 0,
      status:          String(r[7]  || ""),
      precisaProduzir: String(r[8]  || ""),
      estoque:         String(r[9]  || ""),
      observacao:      String(r[10] || "")
    });
  }
  return result;
}</t>
  </si>
  <si>
    <t>&lt;!DOCTYPE html&gt;
&lt;html lang="pt-BR" data-theme="light"&gt;
&lt;head&gt;
  &lt;meta charset="UTF-8"&gt;
  &lt;meta name="viewport" content="width=device-width, initial-scale=1.0"&gt;
  &lt;base target="_top"&gt;
  &lt;title&gt;Essência do Brasil&lt;/title&gt;
  &lt;?!= include('estilos') ?&gt;
&lt;/head&gt;
&lt;body&gt;
  &lt;div id="app"&gt;
    &lt;?!= include('home') ?&gt;
    &lt;?!= include('page-inventario') ?&gt;
    &lt;?!= include('page-validade') ?&gt;
  &lt;/div&gt;
  &lt;div class="toast-wrap" id="toastWrap"&gt;&lt;/div&gt;
  &lt;canvas id="confetti"&gt;&lt;/canvas&gt;
  &lt;button class="scroll-top" id="scrollTop" aria-label="Voltar ao topo"&gt;
    &lt;svg viewBox="0 0 24 24" width="16" height="16" fill="none" stroke="#fff" stroke-width="2.5" stroke-linecap="round" stroke-linejoin="round"&gt;
      &lt;polyline points="18 15 12 9 6 15"/&gt;
    &lt;/svg&gt;
  &lt;/button&gt;
  &lt;!-- Shortcuts overlay --&gt;
  &lt;div class="ov-bg" id="shortcutsOverlay" role="dialog" aria-modal="true" aria-label="Atalhos de teclado"&gt;
    &lt;div class="ov-card"&gt;
      &lt;div class="ov-title"&gt;
        Atalhos de teclado
        &lt;button class="ov-close" id="overlayClose" aria-label="Fechar"&gt;
          &lt;svg viewBox="0 0 24 24" width="16" height="16" fill="none" stroke="currentColor" stroke-width="2" stroke-linecap="round"&gt;
            &lt;line x1="18" y1="6" x2="6" y2="18"/&gt;&lt;line x1="6" y1="6" x2="18" y2="18"/&gt;
          &lt;/svg&gt;
        &lt;/button&gt;
      &lt;/div&gt;
      &lt;div class="sh-row"&gt;&lt;span&gt;Ir para Home&lt;/span&gt;&lt;span&gt;&lt;span class="kbd"&gt;H&lt;/span&gt;&lt;/span&gt;&lt;/div&gt;
      &lt;div class="sh-row"&gt;&lt;span&gt;Ir para Inventário&lt;/span&gt;&lt;span&gt;&lt;span class="kbd"&gt;1&lt;/span&gt;&lt;/span&gt;&lt;/div&gt;
      &lt;div class="sh-row"&gt;&lt;span&gt;Ir para Validade&lt;/span&gt;&lt;span&gt;&lt;span class="kbd"&gt;2&lt;/span&gt;&lt;/span&gt;&lt;/div&gt;
      &lt;div class="sh-row"&gt;&lt;span&gt;Focar busca&lt;/span&gt;&lt;span&gt;&lt;span class="kbd"&gt;/&lt;/span&gt;&lt;/span&gt;&lt;/div&gt;
      &lt;div class="sh-row"&gt;&lt;span&gt;Aceitar sugestão&lt;/span&gt;&lt;span&gt;&lt;span class="kbd"&gt;Tab&lt;/span&gt;&lt;/span&gt;&lt;/div&gt;
      &lt;div class="sh-row"&gt;&lt;span&gt;Navegar resultados&lt;/span&gt;&lt;span&gt;&lt;span class="kbd"&gt;↑&lt;/span&gt; &lt;span class="kbd"&gt;↓&lt;/span&gt;&lt;/span&gt;&lt;/div&gt;
      &lt;div class="sh-row"&gt;&lt;span&gt;Copiar item focado&lt;/span&gt;&lt;span&gt;&lt;span class="kbd"&gt;Enter&lt;/span&gt;&lt;/span&gt;&lt;/div&gt;
      &lt;div class="sh-row"&gt;&lt;span&gt;Exportar CSV&lt;/span&gt;&lt;span&gt;&lt;span class="kbd"&gt;Ctrl&lt;/span&gt; &lt;span class="kbd"&gt;E&lt;/span&gt;&lt;/span&gt;&lt;/div&gt;
      &lt;div class="sh-row"&gt;&lt;span&gt;Alternar tema&lt;/span&gt;&lt;span&gt;&lt;span class="kbd"&gt;Ctrl&lt;/span&gt; &lt;span class="kbd"&gt;D&lt;/span&gt;&lt;/span&gt;&lt;/div&gt;
      &lt;div class="sh-row"&gt;&lt;span&gt;Fechar / limpar&lt;/span&gt;&lt;span&gt;&lt;span class="kbd"&gt;Esc&lt;/span&gt;&lt;/span&gt;&lt;/div&gt;
      &lt;div class="sh-row"&gt;&lt;span&gt;Abrir atalhos&lt;/span&gt;&lt;span&gt;&lt;span class="kbd"&gt;?&lt;/span&gt;&lt;/span&gt;&lt;/div&gt;
    &lt;/div&gt;
  &lt;/div&gt;
  &lt;!-- Mobile bottom navigation --&gt;
  &lt;nav class="mob-nav-bar" id="mobNavBar" aria-label="Navegação principal mobile"&gt;
    &lt;button class="mob-nav-item active" data-nav="home" aria-label="Home"&gt;
      &lt;svg viewBox="0 0 24 24"&gt;
        &lt;path d="M3 9l9-7 9 7v11a2 2 0 0 1-2 2H5a2 2 0 0 1-2-2z"/&gt;
        &lt;polyline points="9 22 9 12 15 12 15 22"/&gt;
      &lt;/svg&gt;
      &lt;span&gt;Home&lt;/span&gt;
    &lt;/button&gt;
    &lt;button class="mob-nav-item" data-nav="inventario" aria-label="Inventário"&gt;
      &lt;svg viewBox="0 0 24 24"&gt;
        &lt;path d="M20 7H4a2 2 0 0 0-2 2v6a2 2 0 0 0 2 2h16a2 2 0 0 0 2-2V9a2 2 0 0 0-2-2z"/&gt;
        &lt;path d="M16 7V5a2 2 0 0 0-2-2h-4a2 2 0 0 0-2 2v2"/&gt;
      &lt;/svg&gt;
      &lt;span&gt;Inventário&lt;/span&gt;
    &lt;/button&gt;
    &lt;button class="mob-nav-item" data-nav="validade" aria-label="Validade"&gt;
      &lt;svg viewBox="0 0 24 24"&gt;
        &lt;rect x="3" y="4" width="18" height="18" rx="2" ry="2"/&gt;
        &lt;line x1="16" y1="2" x2="16" y2="6"/&gt;
        &lt;line x1="8" y1="2" x2="8" y2="6"/&gt;
        &lt;line x1="3" y1="10" x2="21" y2="10"/&gt;
      &lt;/svg&gt;
      &lt;span&gt;Validade&lt;/span&gt;
    &lt;/button&gt;
  &lt;/nav&gt;
  &lt;?!= include('scripts') ?&gt;
&lt;/body&gt;
&lt;/html&gt;</t>
  </si>
  <si>
    <t>&lt;div id="page-validade" class="page"&gt;
  &lt;!-- Header interno --&gt;
  &lt;header class="page-header"&gt;
    &lt;button class="back-btn" id="backFromValidade" aria-label="Voltar para Home"&gt;
      &lt;svg viewBox="0 0 24 24" width="14" height="14" fill="none" stroke="currentColor" stroke-width="2.5" stroke-linecap="round" stroke-linejoin="round"&gt;
        &lt;polyline points="15 18 9 12 15 6"/&gt;
      &lt;/svg&gt;
      Home
    &lt;/button&gt;
    &lt;div&gt;
      &lt;div class="page-title"&gt;Validade&lt;/div&gt;
      &lt;div class="page-subtitle"&gt;Controle de prazos e vencimentos&lt;/div&gt;
    &lt;/div&gt;
    &lt;div class="page-header-right"&gt;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 Summary cards --&gt;
    &lt;div class="summary-grid"&gt;
      &lt;div class="summary-card"&gt;
        &lt;div class="summary-value" id="val-total"&gt;—&lt;/div&gt;
        &lt;div class="summary-label"&gt;Total de produtos&lt;/div&gt;
      &lt;/div&gt;
      &lt;div class="summary-card attention"&gt;
        &lt;div class="summary-value" id="val-atencao"&gt;—&lt;/div&gt;
        &lt;div class="summary-label"&gt;Atenção (≤90 dias)&lt;/div&gt;
      &lt;/div&gt;
      &lt;div class="summary-card critical"&gt;
        &lt;div class="summary-value" id="val-critico"&gt;—&lt;/div&gt;
        &lt;div class="summary-label"&gt;Crítico / Vencido&lt;/div&gt;
      &lt;/div&gt;
    &lt;/div&gt;
    &lt;!-- Filtros --&gt;
    &lt;div class="filtros-bar"&gt;
      &lt;input
        type="search"
        id="val-search"
        placeholder="Buscar produto…"
        autocomplete="off"
      &gt;
      &lt;select id="val-sort"&gt;
        &lt;option value="nearest"&gt;Validade (mais próxima)&lt;/option&gt;
        &lt;option value="farthest"&gt;Validade (mais distante)&lt;/option&gt;
        &lt;option value="name"&gt;Produto A–Z&lt;/option&gt;
        &lt;option value="days"&gt;Dias restantes&lt;/option&gt;
      &lt;/select&gt;
      &lt;select id="val-filter"&gt;
        &lt;option value="all"&gt;Todos os status&lt;/option&gt;
        &lt;option value="ok"&gt;OK&lt;/option&gt;
        &lt;option value="atencao"&gt;Atenção&lt;/option&gt;
        &lt;option value="critico"&gt;Crítico&lt;/option&gt;
        &lt;option value="vencido"&gt;Vencido&lt;/option&gt;
      &lt;/select&gt;
      &lt;button class="refresh-btn" id="val-refresh"&gt;
        &lt;svg viewBox="0 0 24 24" width="14" height="14" fill="none" stroke="currentColor" stroke-width="2" stroke-linecap="round" stroke-linejoin="round"&gt;
          &lt;polyline points="1 4 1 10 7 10"/&gt;
          &lt;path d="M3.51 15a9 9 0 1 0 .49-3.25"/&gt;
        &lt;/svg&gt;
        Atualizar
      &lt;/button&gt;
      &lt;button class="small-btn" id="val-toggle-inativo" title="Ocultar/mostrar vencidos"&gt;
        &lt;svg viewBox="0 0 24 24" width="12" height="12" fill="none" stroke="currentColor" stroke-width="2" stroke-linecap="round" stroke-linejoin="round"&gt;
          &lt;path d="M17.94 17.94A10.07 10.07 0 0 1 12 20c-7 0-11-8-11-8a18.45 18.45 0 0 1 5.06-5.94"/&gt;
          &lt;path d="M9.9 4.24A9.12 9.12 0 0 1 12 4c7 0 11 8 11 8a18.5 18.5 0 0 1-2.16 3.19"/&gt;
          &lt;line x1="1" y1="1" x2="23" y2="23"/&gt;
        &lt;/svg&gt;
        &lt;span id="val-toggle-inativo-lbl"&gt;Ocultar Vencidos&lt;/span&gt;
      &lt;/button&gt;
      &lt;button class="small-btn" id="val-email-btn" title="Enviar relatório de produtos críticos por e-mail"&gt;
        &lt;svg viewBox="0 0 24 24" width="12" height="12" fill="none" stroke="currentColor" stroke-width="2" stroke-linecap="round" stroke-linejoin="round"&gt;
          &lt;path d="M4 4h16c1.1 0 2 .9 2 2v12c0 1.1-.9 2-2 2H4c-1.1 0-2-.9-2-2V6c0-1.1.9-2 2-2z"/&gt;
          &lt;polyline points="22,6 12,13 2,6"/&gt;
        &lt;/svg&gt;
        Relatório E-mail
      &lt;/button&gt;
    &lt;/div&gt;
    &lt;div class="val-count-bar" id="val-count-bar"&gt;&lt;/div&gt;
    &lt;!-- Skeleton loader --&gt;
    &lt;div id="val-skel" style="display:none" class="skel-list"&gt;
      &lt;div class="skel-item shimmer"&gt;&lt;/div&gt;
      &lt;div class="skel-item shimmer"&gt;&lt;/div&gt;
      &lt;div class="skel-item shimmer"&gt;&lt;/div&gt;
    &lt;/div&gt;
    &lt;!-- Grid de cards de validade --&gt;
    &lt;div id="val-results" class="val-grid"&gt;&lt;/div&gt;
  &lt;/div&gt;
&lt;/div&gt;</t>
  </si>
  <si>
    <t>&lt;script&gt;
(function() {
'use strict';
/* ═══════════════════════════════════════════════════
   CONSTANTES
   ═══════════════════════════════════════════════════ */
var THEME_KEY = 'inv_theme';
var REC_KEY   = 'inv_rec_v3';
var VIEW_KEY  = 'inv_view';
var SORT_KEY  = 'inv_sort';
var MAX_REC   = 8;
/* ═══════════════════════════════════════════════════
   UTILS
   ═══════════════════════════════════════════════════ */
function escHtml(s) {
  return String(s)
    .replace(/&amp;/g,'&amp;amp;')
    .replace(/&lt;/g,'&amp;lt;')
    .replace(/&gt;/g,'&amp;gt;')
    .replace(/"/g,'&amp;quot;');
}
function highlight(text, terms) {
  var safe = escHtml(text);
  terms.forEach(function(t) {
    if (!t) return;
    var re = new RegExp('('+t.replace(/[.*+?^${}()|[\]\\]/g,'\\$&amp;')+')','gi');
    safe = safe.replace(re,'&lt;mark&gt;$1&lt;/mark&gt;');
  });
  return safe;
}
function qs(sel, ctx)  { return (ctx||document).querySelector(sel); }
function qsa(sel, ctx) { return Array.prototype.slice.call((ctx||document).querySelectorAll(sel)); }
function fmtDate(str) {
  if (!str) return '';
  if (/^\d{2}\/\d{2}\/\d{4}$/.test(str)) return str;
  var d = new Date(str);
  if (isNaN(d.getTime())) return str;
  return ('0'+d.getDate()).slice(-2)+'/'+('0'+(d.getMonth()+1)).slice(-2)+'/'+d.getFullYear();
}
/* ═══════════════════════════════════════════════════
   TOAST
   ═══════════════════════════════════════════════════ */
function toast(msg, type) {
  var wrap = qs('#toastWrap');
  if (!wrap) return;
  var icons = {
    ok:   '&lt;svg viewBox="0 0 24 24"&gt;&lt;polyline points="20 6 9 17 4 12"/&gt;&lt;/svg&gt;',
    copy: '&lt;svg viewBox="0 0 24 24"&gt;&lt;rect x="9" y="9" width="13" height="13" rx="2"/&gt;&lt;path d="M5 15H4a2 2 0 0 1-2-2V4a2 2 0 0 1 2-2h9a2 2 0 0 1 2 2v1"/&gt;&lt;/svg&gt;',
    err:  '&lt;svg viewBox="0 0 24 24"&gt;&lt;circle cx="12" cy="12" r="9"/&gt;&lt;line x1="12" y1="8" x2="12" y2="12"/&gt;&lt;line x1="12" y1="16" x2="12.01" y2="16"/&gt;&lt;/svg&gt;'
  };
  var t = document.createElement('div');
  t.className = 'toast' + (type === 'err' ? ' err' : type === 'copy' ? ' copy' : '');
  t.innerHTML = (icons[type]||icons.ok) + escHtml(msg);
  wrap.appendChild(t);
  setTimeout(function() {
    t.classList.add('gone');
    setTimeout(function() { if (t.parentNode) t.parentNode.removeChild(t); }, 220);
  }, 2600);
}
/* ═══════════════════════════════════════════════════
   TEMA
   ═══════════════════════════════════════════════════ */
var THEME = {
  current: localStorage.getItem(THEME_KEY) || 'light',
  apply: function(t) {
    THEME.current = t;
    document.documentElement.setAttribute('data-theme', t);
    localStorage.setItem(THEME_KEY, t);
    var isDark  = (t === 'dark');
    var moonSvg = '&lt;path d="M21 12.79A9 9 0 1 1 11.21 3 7 7 0 0 0 21 12.79z"/&gt;';
    var sunSvg  = '&lt;circle cx="12" cy="12" r="4"/&gt;&lt;line x1="12" y1="2" x2="12" y2="4"/&gt;&lt;line x1="12" y1="20" x2="12" y2="22"/&gt;&lt;line x1="4.22" y1="4.22" x2="5.64" y2="5.64"/&gt;&lt;line x1="18.36" y1="18.36" x2="19.78" y2="19.78"/&gt;&lt;line x1="2" y1="12" x2="4" y2="12"/&gt;&lt;line x1="20" y1="12" x2="22" y2="12"/&gt;&lt;line x1="4.22" y1="19.78" x2="5.64" y2="18.36"/&gt;&lt;line x1="18.36" y1="5.64" x2="19.78" y2="4.22"/&gt;';
    qsa('.theme-icon').forEach(function(svg) {
      svg.innerHTML = isDark ? sunSvg : moonSvg;
    });
  },
  toggle: function() {
    THEME.apply(THEME.current === 'light' ? 'dark' : 'light');
    toast(THEME.current === 'dark' ? 'Tema escuro ativado' : 'Tema claro ativado', 'ok');
  }
};
/* ═══════════════════════════════════════════════════
   SHORTCUTS OVERLAY
   ═══════════════════════════════════════════════════ */
var OVERLAY = {
  open:   function() { var o = qs('#shortcutsOverlay'); if (o) o.classList.add('on'); },
  close:  function() { var o = qs('#shortcutsOverlay'); if (o) o.classList.remove('on'); },
  isOpen: function() { var o = qs('#shortcutsOverlay'); return o &amp;&amp; o.classList.contains('on'); }
};
qs('#overlayClose').addEventListener('click', OVERLAY.close);
qs('#shortcutsOverlay').addEventListener('click', function(e) {
  if (e.target === qs('#shortcutsOverlay')) OVERLAY.close();
});
/* ═══════════════════════════════════════════════════
   ROUTER — navegação entre páginas
   ═══════════════════════════════════════════════════ */
var ROUTER = {
  current: null,
  navigate: function(pageId) {
    if (ROUTER.current === pageId) return;
    if (ROUTER.current) {
      var oldEl = qs('#page-' + ROUTER.current);
      if (oldEl) oldEl.classList.remove('active');
      if (PAGES[ROUTER.current] &amp;&amp; PAGES[ROUTER.current].destroy) {
        PAGES[ROUTER.current].destroy();
      }
    }
    ROUTER.current = pageId;
    var newEl = qs('#page-' + pageId);
    if (newEl) {
      newEl.style.animation = 'none';
      void newEl.offsetWidth;
      newEl.style.animation = '';
      newEl.classList.add('active');
    }
    /* Sincroniza mobile nav bar */
    qsa('.mob-nav-item').forEach(function(btn) {
      btn.classList.toggle('active', btn.getAttribute('data-nav') === pageId);
    });
    if (pageId === 'home') {
      history.replaceState(null, '', window.location.pathname + window.location.search);
    } else {
      window.location.hash = pageId;
    }
    if (PAGES[pageId] &amp;&amp; PAGES[pageId].init) {
      PAGES[pageId].init();
    }
  },
  init: function() {
    var hash = window.location.hash.replace('#', '');
    if (hash.indexOf('q=') === 0) {
      ROUTER.navigate('inventario');
    } else if (hash === 'inventario' || hash === 'validade') {
      ROUTER.navigate(hash);
    } else {
      ROUTER.navigate('home');
    }
  }
};
/* ═══════════════════════════════════════════════════
   PARTÍCULAS — canvas da home
   ═══════════════════════════════════════════════════ */
var HOME_PARTICLES = {
  canvas:    null,
  ctx:       null,
  particles: [],
  animId:    null,
  init: function() {
    var canvas = qs('#homeParticles');
    if (!canvas) return;
    HOME_PARTICLES.canvas = canvas;
    HOME_PARTICLES.ctx    = canvas.getContext('2d');
    HOME_PARTICLES.resize();
    HOME_PARTICLES.create();
    HOME_PARTICLES.loop();
    window.addEventListener('resize', HOME_PARTICLES.resize);
  },
  resize: function() {
    var c = HOME_PARTICLES.canvas;
    if (!c) return;
    c.width  = c.offsetWidth  || window.innerWidth;
    c.height = c.offsetHeight || window.innerHeight;
  },
  create: function() {
    HOME_PARTICLES.particles = [];
    var W = HOME_PARTICLES.canvas ? HOME_PARTICLES.canvas.width  : 800;
    var H = HOME_PARTICLES.canvas ? HOME_PARTICLES.canvas.height : 600;
    for (var i = 0; i &lt; 55; i++) {
      HOME_PARTICLES.particles.push({
        x:  Math.random() * W,
        y:  Math.random() * H,
        vx: (Math.random() - 0.5) * 0.35,
        vy: (Math.random() - 0.5) * 0.35,
        r:  0.8 + Math.random() * 2,
        a:  0.08 + Math.random() * 0.3
      });
    }
  },
  loop: function() {
    var c = HOME_PARTICLES.canvas, ctx = HOME_PARTICLES.ctx;
    if (!c || !ctx) return;
    var W = c.width, H = c.height;
    ctx.clearRect(0, 0, W, H);
    HOME_PARTICLES.particles.forEach(function(p) {
      p.x += p.vx; p.y += p.vy;
      if (p.x &lt; 0) p.x = W; else if (p.x &gt; W) p.x = 0;
      if (p.y &lt; 0) p.y = H; else if (p.y &gt; H) p.y = 0;
      ctx.beginPath();
      ctx.arc(p.x, p.y, p.r, 0, Math.PI * 2);
      ctx.fillStyle = 'rgba(0,230,118,' + p.a + ')';
      ctx.fill();
    });
    HOME_PARTICLES.animId = requestAnimationFrame(HOME_PARTICLES.loop);
  },
  destroy: function() {
    if (HOME_PARTICLES.animId) cancelAnimationFrame(HOME_PARTICLES.animId);
    HOME_PARTICLES.animId = null;
    window.removeEventListener('resize', HOME_PARTICLES.resize);
    var c = HOME_PARTICLES.canvas;
    if (c &amp;&amp; HOME_PARTICLES.ctx) HOME_PARTICLES.ctx.clearRect(0, 0, c.width, c.height);
  }
};
/* ═══════════════════════════════════════════════════
   HOME
   ═══════════════════════════════════════════════════ */
var HOME = {
  clockTimer: null,
  startClock: function() {
    clearInterval(HOME.clockTimer);
    function tick() {
      var now       = new Date();
      var mesesFull = ['Janeiro','Fevereiro','Março','Abril','Maio','Junho',
                       'Julho','Agosto','Setembro','Outubro','Novembro','Dezembro'];
      var diasFull  = ['Domingo','Segunda','Terça','Quarta','Quinta','Sexta','Sábado'];
      var h = ('0'+now.getHours()).slice(-2);
      var m = ('0'+now.getMinutes()).slice(-2);
      var s = ('0'+now.getSeconds()).slice(-2);
      var clockEl = qs('#heroStatClock');
      if (clockEl) clockEl.textContent = h+':'+m+':'+s;
      var ringClock = qs('#ringCoreClock');
      if (ringClock) ringClock.textContent = h+':'+m;
      var dateEl = qs('#homeDateTime');
      if (dateEl) dateEl.textContent =
        diasFull[now.getDay()]+', '+now.getDate()+' de '+mesesFull[now.getMonth()]+' · '+h+':'+m;
    }
    tick();
    HOME.clockTimer = setInterval(tick, 1000);
  },
  init: function() {
    HOME.startClock();
    HOME_PARTICLES.init();
  },
  destroy: function() {
    clearInterval(HOME.clockTimer);
    HOME_PARTICLES.destroy();
  }
};
/* ═══════════════════════════════════════════════════
   APP — estado global
   ═══════════════════════════════════════════════════ */
var APP = {
  sesSearches: 0,
  sesHits:     0,
  recents: (function() {
    try { return JSON.parse(localStorage.getItem(REC_KEY)||'[]'); } catch(e) { return []; }
  })(),
  updateStats: function(term, count) {
    APP.sesSearches++;
    APP.sesHits += count;
    var pill = qs('#sessionStats');
    if (pill) {
      pill.textContent = APP.sesSearches+' busc. · '+APP.sesHits+' ach.';
      pill.classList.add('visible');
    }
  }
};
/* ═══════════════════════════════════════════════════
   SCROLL TO TOP
   ═══════════════════════════════════════════════════ */
function initScrollTop() {
  var btn = qs('#scrollTop');
  if (!btn) return;
  window.addEventListener('scroll', function() {
    btn.classList.toggle('on', window.scrollY &gt; 200);
  });
  btn.addEventListener('click', function() {
    window.scrollTo({ top: 0, behavior: 'smooth' });
  });
}
/* ═══════════════════════════════════════════════════
   PAGE: INVENTÁRIO
   ═══════════════════════════════════════════════════ */
var INV = {
  lastResults:   [],
  lastTerms:     [],
  currentTerms:  [],
  debounceTimer: null,
  focusedIndex:  -1,
  viewMode:  localStorage.getItem(VIEW_KEY) || 'list',
  sortMode:  localStorage.getItem(SORT_KEY) || 'default',
  _eventsAttached: false,
  getCache: function(term) {
    try {
      var r = sessionStorage.getItem('inv_cache_'+term.toLowerCase().trim());
      return r ? JSON.parse(r) : null;
    } catch(e) { return null; }
  },
  setCache: function(term, data) {
    try { sessionStorage.setItem('inv_cache_'+term.toLowerCase().trim(), JSON.stringify(data)); } catch(e) {}
  },
  saveRecent: function(term) {
    if (!term || term.length &lt; 2) return;
    APP.recents = APP.recents.filter(function(r) { return r.term !== term; });
    APP.recents.unshift({ term: term, ts: Date.now() });
    if (APP.recents.length &gt; MAX_REC) APP.recents = APP.recents.slice(0, MAX_REC);
    localStorage.setItem(REC_KEY, JSON.stringify(APP.recents));
  },
  removeRecent: function(term) {
    APP.recents = APP.recents.filter(function(r) { return r.term !== term; });
    localStorage.setItem(REC_KEY, JSON.stringify(APP.recents));
    INV.renderRecentsChips();
  },
  clearAllRecents: function() {
    APP.recents = [];
    localStorage.removeItem(REC_KEY);
    INV.renderRecentsChips();
  },
  renderRecentsChips: function() {
    var wrap = qs('#recentsWrap'), list = qs('#recentsList');
    if (!wrap || !list) return;
    if (!APP.recents.length) { wrap.style.display = 'none'; return; }
    wrap.style.display = '';
    list.innerHTML = '';
    var frag = document.createDocumentFragment();
    APP.recents.forEach(function(r) {
      var chip = document.createElement('span');
      chip.className = 'chip';
      chip.innerHTML =
        '&lt;svg viewBox="0 0 24 24" width="10" height="10" fill="none" stroke="currentColor" stroke-width="2" stroke-linecap="round"&gt;&lt;polyline points="1 4 1 10 7 10"/&gt;&lt;path d="M3.51 15a9 9 0 1 0 .49-3.25"/&gt;&lt;/svg&gt;'+
        '&lt;span class="chip-text"&gt;'+escHtml(r.term)+'&lt;/span&gt;'+
        '&lt;button class="chip-remove" aria-label="Remover '+escHtml(r.term)+'"&gt;&lt;svg viewBox="0 0 24 24" width="10" height="10" fill="none" stroke="currentColor" stroke-width="2.5" stroke-linecap="round"&gt;&lt;line x1="18" y1="6" x2="6" y2="18"/&gt;&lt;line x1="6" y1="6" x2="18" y2="18"/&gt;&lt;/svg&gt;&lt;/button&gt;';
      (function(term) {
        chip.querySelector('.chip-text').addEventListener('click', function() {
          var sb = qs('#searchBox');
          if (sb) { sb.value = term; INV.triggerSearch(term, true); }
        });
        chip.querySelector('.chip-remove').addEventListener('click', function(e) {
          e.stopPropagation(); INV.removeRecent(term);
        });
      })(r.term);
      frag.appendChild(chip);
    });
    list.appendChild(frag);
  },
  renderTermPills: function(terms) {
    INV.currentTerms = terms;
    var wrap = qs('#termPillsWrap'), el = qs('#termPills');
    if (!wrap || !el) return;
    if (terms.length &lt;= 1) { wrap.classList.remove('open'); return; }
    wrap.classList.add('open');
    el.innerHTML = '';
    var frag = document.createDocumentFragment();
    terms.forEach(function(t, i) {
      if (!t) return;
      var pill = document.createElement('span');
      pill.className = 'term-pill';
      pill.innerHTML = escHtml(t)+
        '&lt;button class="term-pill-x"&gt;&lt;svg viewBox="0 0 24 24" width="10" height="10" fill="none" stroke="currentColor" stroke-width="3" stroke-linecap="round"&gt;&lt;line x1="18" y1="6" x2="6" y2="18"/&gt;&lt;line x1="6" y1="6" x2="18" y2="18"/&gt;&lt;/svg&gt;&lt;/button&gt;';
      (function(idx) {
        pill.querySelector('.term-pill-x').addEventListener('click', function() {
          var newVal = INV.currentTerms.filter(function(_,j){return j!==idx;}).join('+');
          var sb = qs('#searchBox'); if (sb) sb.value = newVal;
          INV.triggerSearch(newVal, true);
        });
      })(i);
      frag.appendChild(pill);
    });
    el.appendChild(frag);
  },
  updateGhostSuggestion: function(val) {
    var gs = qs('#ghostSuggestion'), gh = qs('#ghostHint');
    if (!gs || !gh) return;
    if (!val) { gs.textContent = ''; gh.innerHTML = ''; return; }
    var match = null;
    for (var i = 0; i &lt; APP.recents.length; i++) {
      var r = APP.recents[i];
      if (r.term.toLowerCase().indexOf(val.toLowerCase()) === 0 &amp;&amp;
          r.term.toLowerCase() !== val.toLowerCase()) { match = r; break; }
    }
    if (match) {
      gs.textContent = match.term;
      gh.innerHTML = '&lt;span class="ghost-tab"&gt;Tab&lt;/span&gt; para aceitar "'+escHtml(match.term)+'"';
    } else {
      gs.textContent = '';
      gh.innerHTML = val.indexOf('+') !== -1 ? '&lt;span class="ghost-tab"&gt;+&lt;/span&gt; adicione mais termos' : '';
    }
  },
  triggerSearch: function(term, immediate) {
    clearTimeout(INV.debounceTimer);
    INV.debounceTimer = setTimeout(function() { INV.doSearch(term); }, immediate ? 0 : 280);
  },
  doSearch: function(rawTerm) {
    var term = rawTerm.trim();
    if (term.length &lt; 2) { INV.showState('min'); return; }
    var terms = term.split('+').map(function(t){return t.trim();}).filter(Boolean);
    INV.renderTermPills(terms);
    var si = qs('#searchIcon');
    if (si) si.classList.add('pulsing');
    var cached = INV.getCache(term);
    if (cached) {
      if (si) si.classList.remove('pulsing');
      INV.renderResults(cached, terms, true);
      INV.saveRecent(term);
      APP.updateStats(term, cached.length);
      return;
    }
    INV.showSkeleton(4);
    var toolbar = qs('#toolbar'); if (toolbar) toolbar.classList.add('visible');
    var li = qs('#loadingIndicator'); if (li) li.classList.add('visible');
    var rc = qs('#resultCount'); if (rc) rc.innerHTML = '';
    var rt = qs('#respTime'); if (rt) rt.textContent = '';
    INV.focusedIndex = -1;
    var startTime = Date.now();
    google.script.run
      .withSuccessHandler(function(rows) {
        var elapsed = Date.now() - startTime;
        if (si) si.classList.remove('pulsing');
        if (li) li.classList.remove('visible');
        var results = rows || [];
        INV.setCache(term, results);
        INV.saveRecent(term);
        INV.renderResults(results, terms, false, elapsed);
        APP.updateStats(term, results.length);
        window.location.hash = 'q='+encodeURIComponent(term);
        if (results.length === 1) INV.fireConfetti();
      })
      .withFailureHandler(function(err) {
        if (si) si.classList.remove('pulsing');
        if (li) li.classList.remove('visible');
        INV.showState('err', err &amp;&amp; err.message ? err.message : 'Erro ao buscar.');
        toast('Erro: '+(err&amp;&amp;err.message?err.message:'falha'), 'err');
      })
      .buscarProdutosWeb(term);
  },
  sortItems: function(items) {
    if (!items || !items.length) return items;
    var copy = items.slice(), s = INV.sortMode;
    if (s==='name-az') copy.sort(function(a,b){return (a.produto||'').localeCompare(b.produto||'');});
    else if (s==='name-za') copy.sort(function(a,b){return (b.produto||'').localeCompare(a.produto||'');});
    else if (s==='box-az') copy.sort(function(a,b){return (a.caixa||'').localeCompare(b.caixa||'');});
    return copy;
  },
  renderResults: function(rows, terms, fromCache, elapsed) {
    INV.lastResults = rows; INV.lastTerms = terms||[]; INV.focusedIndex = -1;
    var sorted  = INV.sortItems(rows);
    var toolbar = qs('#toolbar'); if (toolbar) toolbar.classList.add('visible');
    var li      = qs('#loadingIndicator'); if (li) li.classList.remove('visible');
    var rc      = qs('#resultCount'), rt = qs('#respTime');
    if (!rows || !rows.length) {
      if (rc) rc.innerHTML = '&lt;strong style="color:var(--text-muted)"&gt;0&lt;/strong&gt; resultado';
      if (rt) rt.textContent = elapsed ? elapsed+'ms' : '';
      INV.showState('empty');
      return;
    }
    if (rc) {
      rc.innerHTML = '';
      var span = document.createElement('span'); span.className = 'result-count';
      var bold = document.createElement('strong'); bold.textContent = '0';
      span.appendChild(bold);
      span.appendChild(document.createTextNode(' '+(rows.length===1?'produto':'produtos')));
      if (fromCache) {
        var b = document.createElement('span'); b.className = 'cache-badge'; b.textContent = '⚡ cache'; span.appendChild(b);
      }
      rc.appendChild(span);
      INV.animateCount(bold, rows.length);
    }
    if (rt) rt.textContent = elapsed ? elapsed+'ms' : '';
    if (INV.viewMode === 'group') {
      INV.renderGroupView(sorted, INV.lastTerms);
    } else {
      var list    = INV.buildItemsList(sorted, INV.lastTerms);
      var content = qs('#content');
      if (content) { content.innerHTML = ''; content.appendChild(list); }
    }
  },
  buildItemsList: function(items, terms) {
    var list = document.createElement('div');
    list.className = 'items-list view-'+INV.viewMode;
    var frag = document.createDocumentFragment();
    items.forEach(function(row, i) { frag.appendChild(INV.buildItem(row, terms, i)); });
    list.appendChild(frag);
    return list;
  },
  buildItem: function(row, terms, idx) {
    var el = document.createElement('div');
    el.className = 'item';
    el.setAttribute('tabindex', '0');
    el.setAttribute('role', 'button');
    el.setAttribute('aria-label', 'Copiar '+(row.produto||''));
    el.style.animationDelay = (idx * 40)+'ms';
    el.innerHTML =
      '&lt;div class="item-icon"&gt;&lt;svg viewBox="0 0 24 24"&gt;&lt;path d="M20 7H4a2 2 0 0 0-2 2v6a2 2 0 0 0 2 2h16a2 2 0 0 0 2-2V9a2 2 0 0 0-2-2z"/&gt;&lt;path d="M16 7V5a2 2 0 0 0-2-2h-4a2 2 0 0 0-2 2v2"/&gt;&lt;/svg&gt;&lt;/div&gt;'+
      '&lt;div class="item-info"&gt;'+
        '&lt;div class="produto"&gt;'+highlight(row.produto||'', terms)+'&lt;/div&gt;'+
        '&lt;div class="caixa-badge"&gt;&lt;svg viewBox="0 0 24 24"&gt;&lt;path d="M21 16V8a2 2 0 0 0-1-1.73l-7-4a2 2 0 0 0-2 0l-7 4A2 2 0 0 0 3 8v8a2 2 0 0 0 1 1.73l7 4a2 2 0 0 0 2 0l7-4A2 2 0 0 0 21 16z"/&gt;&lt;/svg&gt;'+escHtml(row.caixa||'Sem caixa')+'&lt;/div&gt;'+
      '&lt;/div&gt;';
    function copyItem() {
      var text = (row.produto||'') + (row.caixa ? ' | '+row.caixa : '');
      if (navigator.clipboard &amp;&amp; navigator.clipboard.writeText) {
        navigator.clipboard.writeText(text).then(function() {
          el.classList.remove('flash'); void el.offsetWidth; el.classList.add('flash');
          toast('Copiado: '+(row.produto||''), 'copy');
        }).catch(function() { toast('Não foi possível copiar','err'); });
      } else {
        var ta = document.createElement('textarea');
        ta.value = text; ta.style.cssText = 'position:fixed;opacity:0';
        document.body.appendChild(ta); ta.select();
        try { document.execCommand('copy'); toast('Copiado: '+(row.produto||''),'copy'); }
        catch(e) { toast('Não foi possível copiar','err'); }
        if (ta.parentNode) ta.parentNode.removeChild(ta);
      }
    }
    el.addEventListener('click', copyItem);
    el.addEventListener('keydown', function(e) {
      if (e.key==='Enter') copyItem();
      if (e.key==='ArrowDown') { e.preventDefault(); INV.moveFocus(1); }
      if (e.key==='ArrowUp')   { e.preventDefault(); INV.moveFocus(-1); }
    });
    return el;
  },
  renderGroupView: function(items, terms) {
    var groups = {};
    items.forEach(function(r) { var k = r.caixa||'Sem caixa'; if(!groups[k]) groups[k]=[]; groups[k].push(r); });
    var content = qs('#content'); if (!content) return;
    content.innerHTML = '';
    var frag = document.createDocumentFragment(), globalIdx = 0;
    Object.keys(groups).sort().forEach(function(caixa) {
      var gi      = groups[caixa];
      var section = document.createElement('div'); section.className = 'group-section';
      var header  = document.createElement('div'); header.className = 'group-header';
      header.innerHTML = '&lt;span&gt;'+escHtml(caixa)+' &lt;span style="font-weight:400;font-size:11px;opacity:.7"&gt;('+gi.length+')&lt;/span&gt;&lt;/span&gt;&lt;svg class="group-chevron open" viewBox="0 0 24 24"&gt;&lt;polyline points="18 15 12 9 6 15"/&gt;&lt;/svg&gt;';
      var body = document.createElement('div'); body.className = 'group-body';
      var list = document.createElement('div'); list.className = 'items-list view-list';
      var f2   = document.createDocumentFragment();
      gi.forEach(function(r) { f2.appendChild(INV.buildItem(r, terms, globalIdx++)); });
      list.appendChild(f2);
      var collapsed = false;
      header.addEventListener('click', function() {
        collapsed = !collapsed;
        body.style.maxHeight = collapsed ? '0' : '';
        body.style.overflow  = collapsed ? 'hidden' : '';
        header.querySelector('.group-chevron').classList.toggle('open', !collapsed);
      });
      body.appendChild(list); section.appendChild(header); section.appendChild(body);
      frag.appendChild(section);
    });
    content.appendChild(frag);
  },
  moveFocus: function(dir) {
    var items = qsa('.item'); if (!items.length) return;
    INV.focusedIndex += dir;
    if (INV.focusedIndex &lt; -1)           INV.focusedIndex = items.length - 1;
    if (INV.focusedIndex &gt;= items.length) INV.focusedIndex = 0;
    if (INV.focusedIndex === -1) {
      var sb = qs('#searchBox'); if (sb) sb.focus();
      items.forEach(function(it) { it.classList.remove('item--focused'); });
    } else {
      items.forEach(function(it,i) { it.classList.toggle('item--focused', i===INV.focusedIndex); });
      items[INV.focusedIndex].focus();
    }
  },
  showState: function(state, msg) {
    var c = qs('#content'); if (!c) return;
    var tpl = {
      hint:  '&lt;div class="state-box state-hint"&gt;&lt;div class="state-icon"&gt;&lt;svg viewBox="0 0 24 24" width="28" height="28" fill="none" stroke="#7986cb" stroke-width="1.6" stroke-linecap="round" stroke-linejoin="round"&gt;&lt;circle cx="11" cy="11" r="7"/&gt;&lt;line x1="21" y1="21" x2="16.65" y2="16.65"/&gt;&lt;/svg&gt;&lt;/div&gt;&lt;div class="state-title"&gt;Busque no inventário&lt;/div&gt;&lt;div class="state-desc"&gt;Digite ao menos 2 caracteres. Use &lt;strong&gt;+&lt;/strong&gt; para combinar termos. Pressione &lt;span class="kbd"&gt;?&lt;/span&gt; para atalhos.&lt;/div&gt;&lt;/div&gt;',
      min:   '&lt;div class="state-box state-min"&gt;&lt;div class="state-icon"&gt;&lt;svg viewBox="0 0 24 24" width="28" height="28" fill="none" stroke="#ccc" stroke-width="1.6" stroke-linecap="round"&gt;&lt;circle cx="11" cy="11" r="7"/&gt;&lt;line x1="21" y1="21" x2="16.65" y2="16.65"/&gt;&lt;/svg&gt;&lt;/div&gt;&lt;div class="state-title"&gt;Continue digitando…&lt;/div&gt;&lt;div class="state-desc"&gt;São necessários ao menos 2 caracteres.&lt;/div&gt;&lt;/div&gt;',
      empty: '&lt;div class="state-box state-empty"&gt;&lt;div class="state-icon"&gt;&lt;svg viewBox="0 0 24 24" width="28" height="28" fill="none" stroke="#ffb300" stroke-width="1.6" stroke-linecap="round"&gt;&lt;circle cx="11" cy="11" r="7"/&gt;&lt;line x1="21" y1="21" x2="16.65" y2="16.65"/&gt;&lt;/svg&gt;&lt;/div&gt;&lt;div class="state-title"&gt;Nenhum produto encontrado&lt;/div&gt;&lt;div class="state-desc"&gt;Tente outros termos ou verifique a ortografia.&lt;/div&gt;&lt;/div&gt;',
      err:   '&lt;div class="state-box state-empty"&gt;&lt;div class="state-icon"&gt;&lt;svg viewBox="0 0 24 24" width="28" height="28" fill="none" stroke="#e53935" stroke-width="1.6" stroke-linecap="round"&gt;&lt;circle cx="12" cy="12" r="9"/&gt;&lt;line x1="12" y1="8" x2="12" y2="12"/&gt;&lt;line x1="12" y1="16" x2="12.01" y2="16"/&gt;&lt;/svg&gt;&lt;/div&gt;&lt;div class="state-title"&gt;Erro na busca&lt;/div&gt;&lt;div class="state-desc"&gt;'+escHtml(msg||'Ocorreu um erro.')+'&lt;/div&gt;&lt;/div&gt;'
    };
    c.innerHTML = tpl[state] || tpl.hint;
  },
  showSkeleton: function(n) {
    var c = qs('#content'); if (!c) return;
    var sk = document.createElement('div'); sk.className = 'skeleton-list';
    var f  = document.createDocumentFragment();
    for (var i = 0; i &lt; n; i++) {
      var item = document.createElement('div'); item.className = 'skeleton-item';
      item.innerHTML = '&lt;div class="skel-icon shimmer"&gt;&lt;/div&gt;&lt;div class="skel-body"&gt;&lt;div class="skel-line shimmer" style="width:'+(55+Math.floor(Math.random()*35))+'%"&gt;&lt;/div&gt;&lt;div class="skel-line short shimmer"&gt;&lt;/div&gt;&lt;/div&gt;';
      f.appendChild(item);
    }
    sk.appendChild(f); c.innerHTML = ''; c.appendChild(sk);
  },
  exportCSV: function() {
    if (!INV.lastResults || !INV.lastResults.length) { toast('Nada para exportar','err'); return; }
    var rows = [['Produto','Caixa']].concat(INV.lastResults.map(function(r) {
      return ['"'+(r.produto||'').replace(/"/g,'""')+'"', '"'+(r.caixa||'').replace(/"/g,'""')+'"'];
    }));
    var csv  = '\uFEFF' + rows.map(function(r){return r.join(',');}).join('\r\n');
    var blob = new Blob([csv], { type: 'text/csv;charset=utf-8;' });
    var url  = URL.createObjectURL(blob);
    var a    = document.createElement('a'); a.href = url; a.download = 'inventario.csv'; a.style.display = 'none';
    document.body.appendChild(a); a.click();
    setTimeout(function(){ if (a.parentNode) a.parentNode.removeChild(a); URL.revokeObjectURL(url); }, 1000);
    toast('CSV exportado ('+INV.lastResults.length+' itens)', 'ok');
  },
  shareSearch: function() {
    var sb = qs('#searchBox'), term = sb ? sb.value.trim() : '';
    if (!term) { toast('Digite um termo para compartilhar','err'); return; }
    var url = window.location.href.split('#')[0]+'#q='+encodeURIComponent(term);
    if (navigator.clipboard &amp;&amp; navigator.clipboard.writeText) {
      navigator.clipboard.writeText(url).then(function(){ toast('URL copiada','copy'); });
    } else {
      toast('URL: '+url,'copy');
    }
  },
  animateCount: function(el, target) {
    var start = Date.now(), dur = 500;
    function step() {
      var p = Math.min((Date.now()-start)/dur, 1), ease = 1-Math.pow(1-p,3);
      el.textContent = Math.round(ease*target);
      if (p &lt; 1) requestAnimationFrame(step);
    }
    requestAnimationFrame(step);
  },
  fireConfetti: function() {
    var canvas = qs('#confetti'); if (!canvas) return;
    var W = canvas.width  = window.innerWidth;
    var H = canvas.height = window.innerHeight;
    var ctx    = canvas.getContext('2d');
    var colors = ['#43a047','#1565c0','#c2185b','#f9a825','#00838f','#6a1b9a','#00e676'];
    var p = [];
    for (var i = 0; i &lt; 80; i++) {
      p.push({
        x: Math.random()*W, y: -10-Math.random()*60,
        r: 4+Math.random()*5, d: 1.5+Math.random()*2.5,
        color: colors[Math.floor(Math.random()*colors.length)],
        ta: 0, ts: .1+Math.random()*.1,
        shape: Math.random()&gt;.5?'rect':'circle'
      });
    }
    var frame = 0;
    function draw() {
      ctx.clearRect(0,0,W,H);
      p.forEach(function(q){
        q.ta += q.ts; q.y += q.d; q.x += Math.sin(q.ta)*1.2;
        ctx.save(); ctx.translate(q.x,q.y); ctx.rotate(q.ta);
        ctx.fillStyle = q.color; ctx.globalAlpha = Math.max(0,1-q.y/H);
        if (q.shape==='rect') { ctx.fillRect(-q.r/2,-q.r/2,q.r,q.r*.5); }
        else { ctx.beginPath(); ctx.arc(0,0,q.r/2,0,Math.PI*2); ctx.fill(); }
        ctx.restore();
      });
      if (++frame &lt; 140) requestAnimationFrame(draw); else ctx.clearRect(0,0,W,H);
    }
    draw();
  },
  init: function() {
    var sb = qs('#searchBox');
    if (!sb) return;
    if (!INV._eventsAttached) {
      INV._eventsAttached = true;
      var clearBtn      = qs('#clearBtn');
      var toolbar       = qs('#toolbar');
      var termPillsWrap = qs('#termPillsWrap');
      var gs            = qs('#ghostSuggestion');
      sb.addEventListener('input', function() {
        var val = sb.value;
        if (clearBtn) clearBtn.classList.toggle('visible', val.length &gt; 0);
        INV.updateGhostSuggestion(val);
        if (val.length &gt;= 2) {
          INV.triggerSearch(val);
        } else if (val.length === 0) {
          INV.showState('hint');
          if (toolbar) toolbar.classList.remove('visible');
          if (termPillsWrap) termPillsWrap.classList.remove('open');
        } else {
          INV.showState('min');
          if (toolbar) toolbar.classList.remove('visible');
        }
      });
      sb.addEventListener('keydown', function(e) {
        if (e.key === 'Tab') {
          var ghost = gs ? gs.textContent : '';
          if (ghost) { e.preventDefault(); sb.value = ghost; if (gs) gs.textContent = ''; INV.triggerSearch(ghost, true); }
        }
        if (e.key === 'ArrowDown') { e.preventDefault(); INV.moveFocus(1); }
        if (e.key === 'Escape') {
          if (sb.value) {
            sb.value = ''; if (clearBtn) clearBtn.classList.remove('visible');
            if (gs) gs.textContent = ''; var gh = qs('#ghostHint'); if (gh) gh.innerHTML = '';
            INV.showState('hint');
            if (toolbar) toolbar.classList.remove('visible');
            if (termPillsWrap) termPillsWrap.classList.remove('open');
          }
        }
      });
      if (clearBtn) clearBtn.addEventListener('click', function() {
        sb.value = ''; clearBtn.classList.remove('visible');
        if (gs) gs.textContent = ''; var gh = qs('#ghostHint'); if (gh) gh.innerHTML = '';
        INV.showState('hint');
        if (toolbar) toolbar.classList.remove('visible');
        if (termPillsWrap) termPillsWrap.classList.remove('open');
        sb.focus();
      });
      var viewBtns = { list: qs('#viewList'), grid: qs('#viewGrid'), group: qs('#viewGroup') };
      Object.keys(viewBtns).forEach(function(k) {
        var btn = viewBtns[k]; if (!btn) return;
        btn.addEventListener('click', function() {
          INV.viewMode = k; localStorage.setItem(VIEW_KEY, k);
          Object.keys(viewBtns).forEach(function(j){ if (viewBtns[j]) viewBtns[j].classList.toggle('active', j===k); });
          if (INV.lastResults &amp;&amp; INV.lastResults.length) INV.renderResults(INV.lastResults, INV.lastTerms);
        });
      });
      var sortSel = qs('#sortSelect');
      if (sortSel) sortSel.addEventListener('change', function() {
        INV.sortMode = sortSel.value; localStorage.setItem(SORT_KEY, INV.sortMode);
        if (INV.lastResults &amp;&amp; INV.lastResults.length) INV.renderResults(INV.lastResults, INV.lastTerms);
      });
      var exportBtn = qs('#exportBtn'); if (exportBtn) exportBtn.addEventListener('click', INV.exportCSV);
      var printBtn  = qs('#printBtn');  if (printBtn)  printBtn.addEventListener('click', function(){ window.print(); });
      var shareBtn  = qs('#shareBtn');  if (shareBtn)  shareBtn.addEventListener('click', INV.shareSearch);
      var clearAllBtn = qs('#clearAllBtn'); if (clearAllBtn) clearAllBtn.addEventListener('click', INV.clearAllRecents);
    }
    var viewBtns2 = { list: qs('#viewList'), grid: qs('#viewGrid'), group: qs('#viewGroup') };
    Object.keys(viewBtns2).forEach(function(k) {
      if (viewBtns2[k]) viewBtns2[k].classList.toggle('active', k === INV.viewMode);
    });
    var sortSel2 = qs('#sortSelect');
    if (sortSel2) sortSel2.value = INV.sortMode;
    INV.renderRecentsChips();
    var hash = window.location.hash;
    if (hash &amp;&amp; hash.indexOf('q=') === 1) {
      var term = decodeURIComponent(hash.slice(3));
      if (term.length &gt;= 2 &amp;&amp; sb.value !== term) {
        sb.value = term;
        var cb = qs('#clearBtn'); if (cb) cb.classList.add('visible');
        INV.triggerSearch(term, true);
        return;
      }
    }
    if (!sb.value) INV.showState('hint');
  },
  destroy: function() { clearTimeout(INV.debounceTimer); }
};
/* ═══════════════════════════════════════════════════
   PAGE: VALIDADE
   ═══════════════════════════════════════════════════ */
var VAL = {
  data:            null,
  filtered:        [],
  filterQuery:     '',
  filterStatus:    'all',
  sortMode:        localStorage.getItem('val_sort') || 'nearest',
  debounceTimer:   null,
  _eventsAttached: false,
  _hideVencidos:   false,
  loadData: function(forceRefresh) {
    if (!forceRefresh) {
      try {
        var raw = sessionStorage.getItem('val_cache');
        if (raw) {
          VAL.data = JSON.parse(raw);
          VAL.updateSummary(); VAL.applyFilters();
          var sk = qs('#val-skel'), gr = qs('#val-results');
          if (sk) sk.style.display = 'none'; if (gr) gr.style.display = '';
          return;
        }
      } catch(e) {}
    }
    var sk = qs('#val-skel'), gr = qs('#val-results');
    if (sk) sk.style.display = '';
    if (gr) { gr.style.display = 'none'; gr.innerHTML = ''; }
    google.script.run
      .withSuccessHandler(function(rows) {
        try { sessionStorage.setItem('val_cache', JSON.stringify(rows||[])); } catch(e) {}
        VAL.data = rows || [];
        if (sk) sk.style.display = 'none';
        if (gr) gr.style.display = '';
        VAL.updateSummary(); VAL.applyFilters();
      })
      .withFailureHandler(function(err) {
        if (sk) sk.style.display = 'none';
        if (gr) {
          gr.style.display = '';
          gr.innerHTML = '&lt;div class="state-box state-empty" style="grid-column:1/-1"&gt;&lt;div class="state-icon"&gt;&lt;svg viewBox="0 0 24 24" width="28" height="28" fill="none" stroke="#e53935" stroke-width="1.6" stroke-linecap="round"&gt;&lt;circle cx="12" cy="12" r="9"/&gt;&lt;line x1="12" y1="8" x2="12" y2="12"/&gt;&lt;line x1="12" y1="16" x2="12.01" y2="16"/&gt;&lt;/svg&gt;&lt;/div&gt;&lt;div class="state-title"&gt;Erro ao carregar dados&lt;/div&gt;&lt;div class="state-desc"&gt;'+escHtml(err&amp;&amp;err.message?err.message:'Erro desconhecido.')+'&lt;/div&gt;&lt;/div&gt;';
        }
        toast('Erro ao carregar validades','err');
      })
      .getValidadeData();
  },
  updateSummary: function() {
    if (!VAL.data) return;
    var total   = VAL.data.length;
    var atencao = VAL.data.filter(function(r){ return r.diasRestantes &gt;= 0 &amp;&amp; r.diasRestantes &lt;= 90; }).length;
    var critico = VAL.data.filter(function(r){ return r.diasRestantes &lt; 0; }).length;
    var te = qs('#val-total'), ae = qs('#val-atencao'), ce = qs('#val-critico');
    if (te) te.textContent = total;
    if (ae) ae.textContent = atencao;
    if (ce) ce.textContent = critico;
  },
  toggleVencidos: function() {
    VAL._hideVencidos = !VAL._hideVencidos;
    var lbl = qs('#val-toggle-inativo-lbl');
    if (lbl) lbl.textContent = VAL._hideVencidos ? 'Mostrar Vencidos' : 'Ocultar Vencidos';
    if (VAL._hideVencidos) {
      /* animação de saída para cards vencidos */
      qsa('#val-results .val-card.danger').forEach(function(card) {
        card.classList.add('fading-out');
        card.addEventListener('animationend', function() {
          card.style.display = 'none';
        }, { once: true });
      });
    } else {
      /* reexibe e refaz render completo */
      VAL.applyFilters();
    }
  },
  enviarRelatorio: function() {
    var btn = qs('#val-email-btn');
    if (btn) { btn.disabled = true; btn.textContent = 'Enviando…'; }
    google.script.run
      .withSuccessHandler(function(res) {
        if (btn) { btn.disabled = false; btn.innerHTML = '&lt;svg viewBox="0 0 24 24" width="12" height="12" fill="none" stroke="currentColor" stroke-width="2" stroke-linecap="round" stroke-linejoin="round"&gt;&lt;path d="M4 4h16c1.1 0 2 .9 2 2v12c0 1.1-.9 2-2 2H4c-1.1 0-2-.9-2-2V6c0-1.1.9-2 2-2z"/&gt;&lt;polyline points="22,6 12,13 2,6"/&gt;&lt;/svg&gt; Relatório E-mail'; }
        toast(res &amp;&amp; res.msg ? res.msg : 'Relatório enviado!', 'ok');
      })
      .withFailureHandler(function(err) {
        if (btn) { btn.disabled = false; btn.innerHTML = '&lt;svg viewBox="0 0 24 24" width="12" height="12" fill="none" stroke="currentColor" stroke-width="2" stroke-linecap="round" stroke-linejoin="round"&gt;&lt;path d="M4 4h16c1.1 0 2 .9 2 2v12c0 1.1-.9 2-2 2H4c-1.1 0-2-.9-2-2V6c0-1.1.9-2 2-2z"/&gt;&lt;polyline points="22,6 12,13 2,6"/&gt;&lt;/svg&gt; Relatório E-mail'; }
        toast('Erro: ' + (err &amp;&amp; err.message ? err.message : 'falha ao enviar'), 'err');
      })
      .enviarRelatorioInativo();
  },
  applyFilters: function() {
    if (!VAL.data) return;
    var q = VAL.filterQuery.toLowerCase().trim(), st = VAL.filterStatus;
    var result = VAL.data.filter(function(r) {
      if (VAL._hideVencidos &amp;&amp; r.diasRestantes &lt; 0) return false;
      if (q &amp;&amp; q.length &gt;= 2 &amp;&amp; r.produto.toLowerCase().indexOf(q) === -1) return false;
      if (st !== 'all') {
        var s = (r.status||'').toLowerCase();
        if (st==='ok'      &amp;&amp; s !== 'ok') return false;
        if (st==='atencao' &amp;&amp; s.indexOf('aten') === -1) return false;
        if (st==='critico' &amp;&amp; s.indexOf('cr')   === -1) return false;
        if (st==='vencido' &amp;&amp; s !== 'vencido') return false;
      }
      return true;
    });
    var sm = VAL.sortMode;
    result = result.slice().sort(function(a,b) {
      if (sm==='nearest'||sm==='days') return a.diasRestantes - b.diasRestantes;
      if (sm==='farthest') return b.diasRestantes - a.diasRestantes;
      if (sm==='name') return (a.produto||'').localeCompare(b.produto||'');
      return 0;
    });
    VAL.filtered = result;
    VAL.renderCards(); VAL.updateCountBar();
  },
  updateCountBar: function() {
    var el = qs('#val-count-bar');
    if (el) el.innerHTML = 'Mostrando &lt;strong&gt;'+VAL.filtered.length+'&lt;/strong&gt; de &lt;strong&gt;'+(VAL.data?VAL.data.length:0)+'&lt;/strong&gt; produtos';
  },
  getCardClass: function(dias) {
    if (dias &lt; 0)   return 'danger';
    if (dias &lt;= 30) return 'warning';
    if (dias &lt;= 90) return 'caution';
    return 'ok';
  },
  getDiasClass: function(dias) {
    if (dias &lt; 0)   return 'dias-crit';
    if (dias &lt;= 30) return 'dias-warn';
    if (dias &lt;= 90) return 'dias-caution';
    return 'dias-ok';
  },
  getStatusClass: function(status) {
    var s = (status||'').toLowerCase();
    if (s === 'ok') return 'badge-ok';
    if (s === 'vencido' || s.indexOf('cr') !== -1) return 'badge-crit';
    return 'badge-warn';
  },
  renderCards: function() {
    var grid = qs('#val-results'); if (!grid) return;
    grid.style.display = '';
    if (!VAL.filtered.length) {
      grid.innerHTML = '&lt;div class="state-box state-empty" style="grid-column:1/-1"&gt;&lt;div class="state-icon"&gt;&lt;svg viewBox="0 0 24 24" width="28" height="28" fill="none" stroke="#ffb300" stroke-width="1.6" stroke-linecap="round"&gt;&lt;circle cx="11" cy="11" r="7"/&gt;&lt;line x1="21" y1="21" x2="16.65" y2="16.65"/&gt;&lt;/svg&gt;&lt;/div&gt;&lt;div class="state-title"&gt;Nenhum produto encontrado&lt;/div&gt;&lt;div class="state-desc"&gt;Tente outros filtros.&lt;/div&gt;&lt;/div&gt;';
      return;
    }
    var frag = document.createDocumentFragment();
    VAL.filtered.forEach(function(r, i) {
      var card = document.createElement('div');
      card.className = 'val-card ' + VAL.getCardClass(r.diasRestantes);
      card.style.animationDelay = Math.min(i*30,300)+'ms';
      var dias      = r.diasRestantes;
      var diasClass = VAL.getDiasClass(dias);
      var diasLabel = dias &lt; 0 ? 'Vencido há '+Math.abs(dias)+'d' : dias+'d restantes';
      var badges = '';
      if (r.status) badges += '&lt;span class="badge '+VAL.getStatusClass(r.status)+'"&gt;'+escHtml(r.status)+'&lt;/span&gt;';
      if (r.estoque) {
        var ec = r.estoque.toUpperCase()==='TEMOS' ? 'badge-temos' : 'badge-falta';
        badges += '&lt;span class="badge '+ec+'"&gt;'+escHtml(r.estoque)+'&lt;/span&gt;';
      }
      if (r.precisaProduzir &amp;&amp; r.precisaProduzir.toUpperCase() !== 'NÃO' &amp;&amp; r.precisaProduzir !== '') {
        badges += '&lt;span class="badge badge-produzir"&gt;Produzir: '+escHtml(r.precisaProduzir)+'&lt;/span&gt;';
      }
      var obs     = r.observacao ? '&lt;div class="val-obs"&gt;'+escHtml(r.observacao)+'&lt;/div&gt;' : '';
      var loteEta = (r.lote ? 'Lote '+escHtml(r.lote) : '')+(r.lote&amp;&amp;r.etiqueta?' · ':'')+(r.etiqueta ? 'Etiq. '+escHtml(r.etiqueta) : '');
      card.innerHTML =
        '&lt;div class="val-card-header"&gt;'+
          '&lt;div class="val-prod-name"&gt;'+escHtml(r.produto)+'&lt;/div&gt;'+
          '&lt;span class="val-dias-badge '+diasClass+'"&gt;'+diasLabel+'&lt;/span&gt;'+
        '&lt;/div&gt;'+
        '&lt;div class="val-date"&gt;'+escHtml(fmtDate(r.validade)||r.validade)+'&lt;/div&gt;'+
        (loteEta ? '&lt;div class="val-lote-eta"&gt;'+loteEta+'&lt;/div&gt;' : '')+
        (badges  ? '&lt;div class="val-badges"&gt;'+badges+'&lt;/div&gt;' : '')+
        obs;
      frag.appendChild(card);
    });
    grid.innerHTML = ''; grid.appendChild(frag);
  },
  init: function() {
    if (!VAL._eventsAttached) {
      VAL._eventsAttached = true;
      var fi = qs('#val-search');
      if (fi) fi.addEventListener('input', function() {
        clearTimeout(VAL.debounceTimer);
        VAL.debounceTimer = setTimeout(function(){ VAL.filterQuery = fi.value; VAL.applyFilters(); }, 280);
      });
      var ss = qs('#val-sort');
      if (ss) {
        ss.value = VAL.sortMode;
        ss.addEventListener('change', function(){
          VAL.sortMode = ss.value; localStorage.setItem('val_sort', VAL.sortMode); VAL.applyFilters();
        });
      }
      var ts = qs('#val-filter');
      if (ts) ts.addEventListener('change', function(){ VAL.filterStatus = ts.value; VAL.applyFilters(); });
      var rb = qs('#val-refresh');
      if (rb) rb.addEventListener('click', function() {
        try { sessionStorage.removeItem('val_cache'); } catch(e) {}
        VAL.data = null; VAL.loadData(true); toast('Atualizando dados…','ok');
      });
      var toggleBtn = qs('#val-toggle-inativo');
      if (toggleBtn) toggleBtn.addEventListener('click', VAL.toggleVencidos);
      var emailBtn = qs('#val-email-btn');
      if (emailBtn) emailBtn.addEventListener('click', VAL.enviarRelatorio);
    }
    VAL.loadData(false);
  },
  destroy: function() { clearTimeout(VAL.debounceTimer); }
};
/* ═══════════════════════════════════════════════════
   PAGES
   ═══════════════════════════════════════════════════ */
var PAGES = {
  home: {
    label: 'Home',
    init:    function() { HOME.init(); },
    destroy: function() { HOME.destroy(); }
  },
  inventario: {
    label: 'Inventário',
    init:    function() { INV.init(); },
    destroy: function() { INV.destroy(); }
  },
  validade: {
    label: 'Validade',
    init:    function() { VAL.init(); },
    destroy: function() { VAL.destroy(); }
  }
};
/* ═══════════════════════════════════════════════════
   EVENTOS DE NAVEGAÇÃO
   ═══════════════════════════════════════════════════ */
qsa('.nav-card[data-nav]').forEach(function(card) {
  card.addEventListener('click', function() { ROUTER.navigate(card.getAttribute('data-nav')); });
  card.addEventListener('keydown', function(e) {
    if (e.key === 'Enter' || e.key === ' ') { e.preventDefault(); ROUTER.navigate(card.getAttribute('data-nav')); }
  });
});
var backInv = qs('#backFromInventario');
var backVal = qs('#backFromValidade');
if (backInv) backInv.addEventListener('click', function(){ ROUTER.navigate('home'); });
if (backVal) backVal.addEventListener('click', function(){ ROUTER.navigate('home'); });
/* Mobile bottom nav — clique em cada item */
qsa('.mob-nav-item').forEach(function(btn) {
  btn.addEventListener('click', function() {
    var dest = btn.getAttribute('data-nav');
    if (dest) ROUTER.navigate(dest);
  });
});
qsa('.theme-btn').forEach(function(btn) {
  btn.addEventListener('click', THEME.toggle);
});
qsa('.shortcuts-btn').forEach(function(btn) {
  btn.addEventListener('click', OVERLAY.open);
});
/* ═══════════════════════════════════════════════════
   ATALHOS GLOBAIS
   ═══════════════════════════════════════════════════ */
document.addEventListener('keydown', function(e) {
  var tag     = (e.target||{}).tagName;
  var inInput = (tag==='INPUT' || tag==='TEXTAREA' || tag==='SELECT');
  if (e.ctrlKey &amp;&amp; e.key === 'd') {
    e.preventDefault(); THEME.toggle(); return;
  }
  if (e.ctrlKey &amp;&amp; e.key === 'e') {
    e.preventDefault();
    if (ROUTER.current === 'inventario') INV.exportCSV();
    return;
  }
  if (!inInput) {
    if (e.key === 'h' || e.key === 'H') { ROUTER.navigate('home'); return; }
    if (e.key === '1') { ROUTER.navigate('inventario'); return; }
    if (e.key === '2') { ROUTER.navigate('validade'); return; }
    if (e.key === '?') { e.preventDefault(); OVERLAY.open(); return; }
    if (e.key === '/') {
      e.preventDefault();
      if (ROUTER.current !== 'inventario') { ROUTER.navigate('inventario'); return; }
      var sb = qs('#searchBox'); if (sb) sb.focus();
      return;
    }
    if (e.key === 'ArrowUp' &amp;&amp; ROUTER.current === 'inventario') {
      e.preventDefault(); INV.moveFocus(-1); return;
    }
    if (e.key === 'ArrowDown' &amp;&amp; ROUTER.current === 'inventario') {
      e.preventDefault(); INV.moveFocus(1); return;
    }
  }
  if (e.key === 'Escape') {
    if (OVERLAY.isOpen()) { OVERLAY.close(); return; }
    if (ROUTER.current === 'inventario') {
      var sbEsc = qs('#searchBox');
      if (sbEsc &amp;&amp; sbEsc.value) {
        sbEsc.value = '';
        var cb = qs('#clearBtn'); if (cb) cb.classList.remove('visible');
        var gs = qs('#ghostSuggestion'); if (gs) gs.textContent = '';
        var gh = qs('#ghostHint'); if (gh) gh.innerHTML = '';
        INV.showState('hint');
        var tb = qs('#toolbar'); if (tb) tb.classList.remove('visible');
        var tp = qs('#termPillsWrap'); if (tp) tp.classList.remove('open');
      }
    }
  }
});
/* ═══════════════════════════════════════════════════
   INIT
   ═══════════════════════════════════════════════════ */
THEME.apply(THEME.current);
initScrollTop();
ROUTER.init();
})();
&lt;/script&gt;</t>
  </si>
  <si>
    <t>&lt;div id="page-home" class="page home-page active"&gt;
  &lt;!-- Partículas de fundo --&gt;
  &lt;canvas id="homeParticles" class="home-particles" aria-hidden="true"&gt;&lt;/canvas&gt;
  &lt;!-- Linha de scan HUD --&gt;
  &lt;div class="home-scan" aria-hidden="true"&gt;&lt;/div&gt;
  &lt;!-- Cantos HUD decorativos --&gt;
  &lt;svg class="hud-corner hud-tl" viewBox="0 0 56 56" width="56" height="56" fill="none" aria-hidden="true"&gt;
    &lt;path d="M3 53 L3 3 L53 3" stroke="rgba(0,230,118,0.45)" stroke-width="1.5" stroke-linecap="round"/&gt;
    &lt;circle cx="3" cy="3" r="3" fill="rgba(0,230,118,0.8)"/&gt;
    &lt;path d="M3 18 L3 3 L18 3" stroke="rgba(0,230,118,0.9)" stroke-width="1" stroke-linecap="round"/&gt;
  &lt;/svg&gt;
  &lt;svg class="hud-corner hud-tr" viewBox="0 0 56 56" width="56" height="56" fill="none" aria-hidden="true"&gt;
    &lt;path d="M3 3 L53 3 L53 53" stroke="rgba(0,230,118,0.45)" stroke-width="1.5" stroke-linecap="round"/&gt;
    &lt;circle cx="53" cy="3" r="3" fill="rgba(0,230,118,0.8)"/&gt;
    &lt;path d="M38 3 L53 3 L53 18" stroke="rgba(0,230,118,0.9)" stroke-width="1" stroke-linecap="round"/&gt;
  &lt;/svg&gt;
  &lt;svg class="hud-corner hud-bl" viewBox="0 0 56 56" width="56" height="56" fill="none" aria-hidden="true"&gt;
    &lt;path d="M3 3 L3 53 L53 53" stroke="rgba(0,230,118,0.45)" stroke-width="1.5" stroke-linecap="round"/&gt;
    &lt;circle cx="3" cy="53" r="3" fill="rgba(0,230,118,0.8)"/&gt;
    &lt;path d="M3 38 L3 53 L18 53" stroke="rgba(0,230,118,0.9)" stroke-width="1" stroke-linecap="round"/&gt;
  &lt;/svg&gt;
  &lt;svg class="hud-corner hud-br" viewBox="0 0 56 56" width="56" height="56" fill="none" aria-hidden="true"&gt;
    &lt;path d="M53 3 L53 53 L3 53" stroke="rgba(0,230,118,0.45)" stroke-width="1.5" stroke-linecap="round"/&gt;
    &lt;circle cx="53" cy="53" r="3" fill="rgba(0,230,118,0.8)"/&gt;
    &lt;path d="M53 38 L53 53 L38 53" stroke="rgba(0,230,118,0.9)" stroke-width="1" stroke-linecap="round"/&gt;
  &lt;/svg&gt;
  &lt;!-- ══ HEADER ══════════════════════════════════════ --&gt;
  &lt;header class="home-header"&gt;
    &lt;div class="home-logo"&gt;
      &lt;div class="home-logo-icon"&gt;
        &lt;svg viewBox="0 0 24 24" width="20" height="20" fill="none" stroke="#fff" stroke-width="1.8" stroke-linecap="round" stroke-linejoin="round" aria-hidden="true"&gt;
          &lt;path d="M12 22V12"/&gt;
          &lt;path d="M12 12C12 12 7 9 6 5C5 1 12 2 12 2C12 2 19 1 18 5C17 9 12 12 12 12Z"/&gt;
        &lt;/svg&gt;
      &lt;/div&gt;
      &lt;div&gt;
        &lt;div class="home-logo-name"&gt;Essência do Brasil&lt;/div&gt;
        &lt;div class="home-logo-tag"&gt;Sistema de Gestão&lt;/div&gt;
      &lt;/div&gt;
    &lt;/div&gt;
    &lt;div class="system-status" aria-label="Status do sistema: online"&gt;
      &lt;div class="system-status-dot"&gt;&lt;/div&gt;
      Sistema Online
    &lt;/div&gt;
    &lt;div class="home-header-actions"&gt;
      &lt;button class="icon-btn theme-btn" id="homeThemeBtn" aria-label="Alternar tema" title="Alternar tema (Ctrl+D)"&gt;
        &lt;svg class="theme-icon" viewBox="0 0 24 24" width="16" height="16" fill="none" stroke="currentColor" stroke-width="2" stroke-linecap="round" stroke-linejoin="round" aria-hidden="true"&gt;
          &lt;path d="M21 12.79A9 9 0 1 1 11.21 3 7 7 0 0 0 21 12.79z"/&gt;
        &lt;/svg&gt;
      &lt;/button&gt;
      &lt;button class="icon-btn shortcuts-btn" aria-label="Atalhos de teclado" title="Atalhos (?)"&gt;
        &lt;svg viewBox="0 0 24 24" width="16" height="16" fill="none" stroke="currentColor" stroke-width="2" stroke-linecap="round" stroke-linejoin="round" aria-hidden="true"&gt;
          &lt;circle cx="12" cy="12" r="9"/&gt;
          &lt;path d="M9.09 9a3 3 0 0 1 5.83 1c0 2-3 3-3 3"/&gt;
          &lt;line x1="12" y1="17" x2="12.01" y2="17"/&gt;
        &lt;/svg&gt;
      &lt;/button&gt;
    &lt;/div&gt;
  &lt;/header&gt;
  &lt;!-- ══ MAIN LAYOUT ═══════════════════════════════ --&gt;
  &lt;main class="home-hero"&gt;
    &lt;div class="home-layout"&gt;
      &lt;!-- ─ Coluna esquerda: texto e módulos ─ --&gt;
      &lt;div class="home-content-col"&gt;
        &lt;div class="home-hero-badge" role="status"&gt;
          &lt;span class="home-hero-badge-dot"&gt;&lt;/span&gt;
          SISTEMA_OPERACIONAL
        &lt;/div&gt;
        &lt;h1 class="home-title"&gt;
          Essência do&lt;br&gt;&lt;span&gt;Brasil&lt;/span&gt;
        &lt;/h1&gt;
        &lt;p class="home-subtitle"&gt;
          Plataforma integrada de gestão e controle de estoque.
          Módulos de inventário, validade e muito mais.
        &lt;/p&gt;
        &lt;div class="hero-stats" role="region" aria-label="Métricas do sistema"&gt;
          &lt;div class="hero-stat"&gt;
            &lt;div class="hero-stat-value"&gt;02&lt;/div&gt;
            &lt;div class="hero-stat-label"&gt;Módulos Ativos&lt;/div&gt;
          &lt;/div&gt;
          &lt;div class="hero-stat-divider" aria-hidden="true"&gt;&lt;/div&gt;
          &lt;div class="hero-stat"&gt;
            &lt;div class="hero-stat-value clock-val" id="heroStatClock"&gt;--:--:--&lt;/div&gt;
            &lt;div class="hero-stat-label"&gt;Horário&lt;/div&gt;
          &lt;/div&gt;
          &lt;div class="hero-stat-divider" aria-hidden="true"&gt;&lt;/div&gt;
          &lt;div class="hero-stat"&gt;
            &lt;div class="hero-stat-value"&gt;v3.1&lt;/div&gt;
            &lt;div class="hero-stat-label"&gt;Versão&lt;/div&gt;
          &lt;/div&gt;
        &lt;/div&gt;
        &lt;div class="home-nav-grid" role="navigation" aria-label="Módulos do sistema"&gt;
          &lt;!-- Módulo 01: Inventário --&gt;
          &lt;div class="nav-card" data-nav="inventario" role="button" tabindex="0" aria-label="Abrir módulo Inventário"&gt;
            &lt;div class="nav-card-scan" aria-hidden="true"&gt;&lt;/div&gt;
            &lt;div class="nav-card-status online" aria-label="Status: online"&gt;
              &lt;div class="nav-card-status-dot"&gt;&lt;/div&gt;
              ONLINE
            &lt;/div&gt;
            &lt;div class="nav-card-num"&gt;MOD_01&lt;/div&gt;
            &lt;div class="nav-card-icon" aria-hidden="true"&gt;
              &lt;svg viewBox="0 0 24 24" width="24" height="24" fill="none" stroke="currentColor" stroke-width="1.8" stroke-linecap="round" stroke-linejoin="round"&gt;
                &lt;path d="M20 7H4a2 2 0 0 0-2 2v6a2 2 0 0 0 2 2h16a2 2 0 0 0 2-2V9a2 2 0 0 0-2-2z"/&gt;
                &lt;path d="M16 7V5a2 2 0 0 0-2-2h-4a2 2 0 0 0-2 2v2"/&gt;
              &lt;/svg&gt;
            &lt;/div&gt;
            &lt;div class="nav-card-label"&gt;Módulo 01&lt;/div&gt;
            &lt;div class="nav-card-title"&gt;Inventário&lt;/div&gt;
            &lt;div class="nav-card-desc"&gt;Busque e localize produtos no estoque com precisão.&lt;/div&gt;
            &lt;div class="nav-card-arrow" aria-hidden="true"&gt;
              &lt;svg viewBox="0 0 24 24" width="14" height="14" fill="none" stroke="currentColor" stroke-width="2.5" stroke-linecap="round" stroke-linejoin="round"&gt;
                &lt;line x1="5" y1="12" x2="19" y2="12"/&gt;
                &lt;polyline points="12 5 19 12 12 19"/&gt;
              &lt;/svg&gt;
            &lt;/div&gt;
          &lt;/div&gt;
          &lt;!-- Módulo 02: Validade --&gt;
          &lt;div class="nav-card" data-nav="validade" role="button" tabindex="0" aria-label="Abrir módulo Validade"&gt;
            &lt;div class="nav-card-scan" aria-hidden="true"&gt;&lt;/div&gt;
            &lt;div class="nav-card-status online" aria-label="Status: online"&gt;
              &lt;div class="nav-card-status-dot"&gt;&lt;/div&gt;
              ONLINE
            &lt;/div&gt;
            &lt;div class="nav-card-num"&gt;MOD_02&lt;/div&gt;
            &lt;div class="nav-card-icon" aria-hidden="true"&gt;
              &lt;svg viewBox="0 0 24 24" width="24" height="24" fill="none" stroke="currentColor" stroke-width="1.8" stroke-linecap="round" stroke-linejoin="round"&gt;
                &lt;rect x="3" y="4" width="18" height="18" rx="2" ry="2"/&gt;
                &lt;line x1="16" y1="2" x2="16" y2="6"/&gt;
                &lt;line x1="8"  y1="2" x2="8"  y2="6"/&gt;
                &lt;line x1="3"  y1="10" x2="21" y2="10"/&gt;
              &lt;/svg&gt;
            &lt;/div&gt;
            &lt;div class="nav-card-label"&gt;Módulo 02&lt;/div&gt;
            &lt;div class="nav-card-title"&gt;Validade&lt;/div&gt;
            &lt;div class="nav-card-desc"&gt;Monitore datas de vencimento com alertas visuais inteligentes.&lt;/div&gt;
            &lt;div class="nav-card-arrow" aria-hidden="true"&gt;
              &lt;svg viewBox="0 0 24 24" width="14" height="14" fill="none" stroke="currentColor" stroke-width="2.5" stroke-linecap="round" stroke-linejoin="round"&gt;
                &lt;line x1="5" y1="12" x2="19" y2="12"/&gt;
                &lt;polyline points="12 5 19 12 12 19"/&gt;
              &lt;/svg&gt;
            &lt;/div&gt;
          &lt;/div&gt;
          &lt;!-- Módulo 03: Em breve --&gt;
          &lt;div class="nav-card disabled" aria-disabled="true" aria-label="Módulo Produção — em breve"&gt;
            &lt;div class="nav-card-scan" aria-hidden="true"&gt;&lt;/div&gt;
            &lt;div class="nav-card-status" aria-label="Status: em breve"&gt;
              &lt;div class="nav-card-status-dot"&gt;&lt;/div&gt;
              EM BREVE
            &lt;/div&gt;
            &lt;div class="nav-card-num"&gt;MOD_03&lt;/div&gt;
            &lt;div class="nav-card-icon" aria-hidden="true"&gt;
              &lt;svg viewBox="0 0 24 24" width="24" height="24" fill="none" stroke="currentColor" stroke-width="1.8" stroke-linecap="round" stroke-linejoin="round"&gt;
                &lt;rect x="2" y="7" width="20" height="14" rx="2"/&gt;
                &lt;path d="M16 21V5a2 2 0 0 0-2-2h-4a2 2 0 0 0-2 2v16"/&gt;
              &lt;/svg&gt;
            &lt;/div&gt;
            &lt;div class="nav-card-label"&gt;Módulo 03 &lt;span class="badge-soon"&gt;EM BREVE&lt;/span&gt;&lt;/div&gt;
            &lt;div class="nav-card-title"&gt;Produção&lt;/div&gt;
            &lt;div class="nav-card-desc"&gt;Controle de lotes, linha de produção e rastreabilidade.&lt;/div&gt;
          &lt;/div&gt;
          &lt;!-- Módulo 04: Em breve --&gt;
          &lt;div class="nav-card disabled" aria-disabled="true" aria-label="Módulo Pedidos — em breve"&gt;
            &lt;div class="nav-card-scan" aria-hidden="true"&gt;&lt;/div&gt;
            &lt;div class="nav-card-status" aria-label="Status: em breve"&gt;
              &lt;div class="nav-card-status-dot"&gt;&lt;/div&gt;
              EM BREVE
            &lt;/div&gt;
            &lt;div class="nav-card-num"&gt;MOD_04&lt;/div&gt;
            &lt;div class="nav-card-icon" aria-hidden="true"&gt;
              &lt;svg viewBox="0 0 24 24" width="24" height="24" fill="none" stroke="currentColor" stroke-width="1.8" stroke-linecap="round" stroke-linejoin="round"&gt;
                &lt;circle cx="9"  cy="21" r="1"/&gt;
                &lt;circle cx="20" cy="21" r="1"/&gt;
                &lt;path d="M1 1h4l2.68 13.39a2 2 0 0 0 2 1.61h9.72a2 2 0 0 0 2-1.61L23 6H6"/&gt;
              &lt;/svg&gt;
            &lt;/div&gt;
            &lt;div class="nav-card-label"&gt;Módulo 04 &lt;span class="badge-soon"&gt;EM BREVE&lt;/span&gt;&lt;/div&gt;
            &lt;div class="nav-card-title"&gt;Pedidos&lt;/div&gt;
            &lt;div class="nav-card-desc"&gt;Gestão completa de pedidos, entregas e clientes.&lt;/div&gt;
          &lt;/div&gt;
        &lt;/div&gt;
      &lt;/div&gt;
      &lt;!-- ─ Coluna direita: sistema de anéis de energia ─ --&gt;
      &lt;div class="home-ring-col" aria-hidden="true"&gt;
        &lt;div class="ring-col-wrapper"&gt;
          &lt;!-- Leituras HUD à esquerda --&gt;
          &lt;div class="hud-readout hud-ro-left"&gt;
            &lt;div class="hud-ro-item"&gt;
              &lt;span class="hud-ro-label"&gt;SYS&lt;/span&gt;
              &lt;span class="hud-ro-value"&gt;ONLINE&lt;/span&gt;
            &lt;/div&gt;
            &lt;div class="hud-ro-item"&gt;
              &lt;span class="hud-ro-label"&gt;MOD&lt;/span&gt;
              &lt;span class="hud-ro-value"&gt;02/06&lt;/span&gt;
            &lt;/div&gt;
            &lt;div class="hud-ro-item"&gt;
              &lt;span class="hud-ro-label"&gt;VER&lt;/span&gt;
              &lt;span class="hud-ro-value"&gt;v3.1&lt;/span&gt;
            &lt;/div&gt;
          &lt;/div&gt;
          &lt;!-- Sistema de anéis --&gt;
          &lt;div class="energy-ring-system"&gt;
            &lt;div class="ring r1"&gt;&lt;/div&gt;
            &lt;div class="ring r2"&gt;&lt;/div&gt;
            &lt;div class="ring r3"&gt;&lt;/div&gt;
            &lt;div class="ring r4"&gt;&lt;/div&gt;
            &lt;div class="ring-orb ro1"&gt;&lt;/div&gt;
            &lt;div class="ring-orb ro2"&gt;&lt;/div&gt;
            &lt;div class="ring-orb ro3"&gt;&lt;/div&gt;
            &lt;div class="ring-core"&gt;
              &lt;div class="ring-core-inner"&gt;
                &lt;svg viewBox="0 0 24 24" width="28" height="28" fill="none" stroke="rgba(0,230,118,0.9)" stroke-width="1.5" stroke-linecap="round" stroke-linejoin="round"&gt;
                  &lt;path d="M12 22V12"/&gt;
                  &lt;path d="M12 12C12 12 7 9 6 5C5 1 12 2 12 2C12 2 19 1 18 5C17 9 12 12 12 12Z"/&gt;
                &lt;/svg&gt;
                &lt;div class="ring-core-clock" id="ringCoreClock"&gt;--:--&lt;/div&gt;
                &lt;div class="ring-core-label"&gt;SISTEMA ONLINE&lt;/div&gt;
              &lt;/div&gt;
            &lt;/div&gt;
          &lt;/div&gt;
          &lt;!-- Leituras HUD à direita --&gt;
          &lt;div class="hud-readout hud-ro-right"&gt;
            &lt;div class="hud-ro-item"&gt;
              &lt;span class="hud-ro-label"&gt;CPU&lt;/span&gt;
              &lt;span class="hud-ro-value"&gt;OK&lt;/span&gt;
            &lt;/div&gt;
            &lt;div class="hud-ro-item"&gt;
              &lt;span class="hud-ro-label"&gt;NET&lt;/span&gt;
              &lt;span class="hud-ro-value"&gt;STABLE&lt;/span&gt;
            &lt;/div&gt;
            &lt;div class="hud-ro-item"&gt;
              &lt;span class="hud-ro-label"&gt;DB&lt;/span&gt;
              &lt;span class="hud-ro-value"&gt;SYNC&lt;/span&gt;
            &lt;/div&gt;
          &lt;/div&gt;
        &lt;/div&gt;
      &lt;/div&gt;
    &lt;/div&gt;
  &lt;/main&gt;
  &lt;!-- ══ FOOTER ══════════════════════════════════════ --&gt;
  &lt;footer class="home-footer"&gt;
    &lt;span&gt;Essência do Brasil&lt;/span&gt;
    &lt;div class="home-footer-dot" aria-hidden="true"&gt;&lt;/div&gt;
    &lt;span class="home-footer-version"&gt;v3.1&lt;/span&gt;
    &lt;div class="home-footer-dot" aria-hidden="true"&gt;&lt;/div&gt;
    &lt;span id="homeDateTime" aria-live="polite"&gt;&lt;/span&gt;
  &lt;/footer&gt;
&lt;/div&gt;</t>
  </si>
  <si>
    <t>claude</t>
  </si>
  <si>
    <t>&lt;!DOCTYPE html&gt;
&lt;html lang="pt-BR"&gt;
&lt;head&gt;
  &lt;meta charset="UTF-8" /&gt;
  &lt;meta name="viewport" content="width=device-width, initial-scale=1.0" /&gt;
  &lt;title&gt;Busca de Inventário&lt;/title&gt;
  &lt;style&gt;
    :root {
      --bg-1: #07110c;
      --bg-2: #0b1711;
      --bg-3: #102119;
      --panel: rgba(11, 22, 17, 0.82);
      --panel-strong: rgba(15, 28, 22, 0.96);
      --panel-soft: rgba(17, 33, 25, 0.78);
      --line: rgba(154, 183, 166, 0.14);
      --line-strong: rgba(154, 183, 166, 0.22);
      --text: #eef7f0;
      --text-soft: #c8d7cc;
      --muted: #8fa597;
      --primary: #5bb97e;
      --primary-2: #3a8f5c;
      --primary-soft: rgba(91, 185, 126, 0.10);
      --gold: #bea26a;
      --danger: #ffb4b4;
      --shadow-xl: 0 28px 70px rgba(0, 0, 0, 0.45);
      --shadow-lg: 0 16px 32px rgba(0, 0, 0, 0.28);
      --shadow-md: 0 10px 20px rgba(0, 0, 0, 0.22);
      --radius-xl: 26px;
      --radius-lg: 20px;
      --radius-md: 16px;
      --radius-sm: 12px;
      --transition: 0.22s ease;
    }
    * {
      box-sizing: border-box;
    }
    html, body {
      margin: 0;
      padding: 0;
      min-height: 100%;
      font-family: "Segoe UI", Inter, Arial, sans-serif;
      color: var(--text);
      background:
        radial-gradient(circle at top left, rgba(91,185,126,0.10), transparent 24%),
        radial-gradient(circle at top right, rgba(190,162,106,0.10), transparent 20%),
        linear-gradient(180deg, var(--bg-1) 0%, var(--bg-2) 46%, var(--bg-3) 100%);
    }
    body {
      padding: 26px;
    }
    .dashboard {
      width: 100%;
      max-width: 1320px;
      margin: 0 auto;
    }
    .shell {
      position: relative;
      overflow: hidden;
      border-radius: var(--radius-xl);
      background:
        linear-gradient(180deg, rgba(255,255,255,0.02), rgba(255,255,255,0.01)),
        var(--panel);
      border: 1px solid rgba(255,255,255,0.06);
      box-shadow: var(--shadow-xl);
      backdrop-filter: blur(14px);
    }
    .shell::before {
      content: "";
      position: absolute;
      inset: 0;
      background:
        linear-gradient(120deg, rgba(91,185,126,0.04), transparent 28%, transparent 72%, rgba(190,162,106,0.04));
      pointer-events: none;
    }
    .hero {
      position: relative;
      padding: 30px 32px 24px;
      border-bottom: 1px solid var(--line);
      background:
        radial-gradient(circle at 85% 10%, rgba(91,185,126,0.10), transparent 24%),
        linear-gradient(180deg, rgba(255,255,255,0.02), rgba(255,255,255,0.01));
    }
    .eyebrow {
      display: inline-flex;
      align-items: center;
      gap: 10px;
      margin-bottom: 14px;
      font-size: 12px;
      letter-spacing: 0.16em;
      text-transform: uppercase;
      color: #b7cabd;
      font-weight: 800;
    }
    .eyebrow-dot {
      width: 8px;
      height: 8px;
      border-radius: 999px;
      background: linear-gradient(135deg, var(--primary), var(--gold));
      box-shadow: 0 0 0 7px rgba(91,185,126,0.08);
    }
    .hero-top {
      display: flex;
      align-items: flex-end;
      justify-content: space-between;
      gap: 18px;
      flex-wrap: wrap;
    }
    .hero-copy h1 {
      margin: 0;
      font-size: clamp(30px, 4vw, 44px);
      line-height: 1.05;
      letter-spacing: -0.035em;
      color: #f3faf5;
    }
    .hero-copy p {
      margin: 12px 0 0;
      max-width: 760px;
      font-size: 15px;
      line-height: 1.7;
      color: var(--text-soft);
    }
    .hero-badge {
      display: inline-flex;
      align-items: center;
      gap: 10px;
      padding: 12px 16px;
      border-radius: 999px;
      background: rgba(255,255,255,0.04);
      border: 1px solid rgba(255,255,255,0.08);
      color: #dce9df;
      font-size: 13px;
      font-weight: 700;
      box-shadow: var(--shadow-md);
      white-space: nowrap;
    }
    .search-wrap {
      padding: 22px 32px 18px;
      border-bottom: 1px solid var(--line);
      background: linear-gradient(180deg, rgba(255,255,255,0.015), rgba(255,255,255,0.005));
    }
    .search-bar {
      display: grid;
      grid-template-columns: 1fr auto;
      gap: 14px;
      align-items: stretch;
    }
    .input-wrap {
      position: relative;
    }
    .input-icon {
      position: absolute;
      left: 18px;
      top: 50%;
      transform: translateY(-50%);
      width: 20px;
      height: 20px;
      color: #8ea394;
      pointer-events: none;
    }
    .search-input {
      width: 100%;
      height: 64px;
      border: 1px solid rgba(255,255,255,0.08);
      border-radius: 20px;
      background:
        linear-gradient(180deg, rgba(255,255,255,0.035), rgba(255,255,255,0.02)),
        rgba(10, 22, 16, 0.92);
      padding: 0 18px 0 52px;
      font-size: 18px;
      color: var(--text);
      outline: none;
      transition: border-color var(--transition), box-shadow var(--transition), transform var(--transition);
      box-shadow: inset 0 1px 0 rgba(255,255,255,0.02);
    }
    .search-input::placeholder {
      color: #8aa08f;
    }
    .search-input:focus {
      border-color: rgba(91,185,126,0.34);
      box-shadow: 0 0 0 5px rgba(91,185,126,0.10);
    }
    .search-btn {
      min-width: 176px;
      height: 64px;
      border: none;
      border-radius: 20px;
      background:
        linear-gradient(180deg, #2f8a57 0%, #1f633d 100%);
      color: #eff8f2;
      font-size: 16px;
      font-weight: 800;
      cursor: pointer;
      transition: transform var(--transition), box-shadow var(--transition), opacity var(--transition);
      box-shadow: 0 16px 28px rgba(11, 71, 40, 0.34);
    }
    .search-btn:hover {
      transform: translateY(-1px);
      box-shadow: 0 20px 36px rgba(11, 71, 40, 0.42);
    }
    .search-btn:disabled {
      opacity: 0.75;
      cursor: wait;
    }
    .chips {
      display: flex;
      flex-wrap: wrap;
      gap: 10px;
      margin-top: 16px;
    }
    .chip {
      border: 1px solid rgba(255,255,255,0.08);
      background: rgba(255,255,255,0.03);
      color: #d8e6db;
      padding: 10px 14px;
      border-radius: 999px;
      font-size: 14px;
      font-weight: 700;
      cursor: pointer;
      transition: background var(--transition), border-color var(--transition), transform var(--transition);
    }
    .chip:hover {
      background: rgba(91,185,126,0.10);
      border-color: rgba(91,185,126,0.22);
      transform: translateY(-1px);
    }
    .content {
      padding: 20px 32px 28px;
    }
    .meta {
      display: flex;
      align-items: center;
      justify-content: space-between;
      gap: 12px;
      flex-wrap: wrap;
      margin-bottom: 18px;
    }
    .meta-left {
      display: flex;
      align-items: center;
      gap: 10px;
      flex-wrap: wrap;
    }
    .status-text {
      font-size: 14px;
      color: var(--text-soft);
    }
    .results-count {
      display: none;
      padding: 9px 13px;
      border-radius: 999px;
      background: rgba(91,185,126,0.12);
      color: #ccf1d7;
      font-size: 13px;
      font-weight: 800;
      border: 1px solid rgba(91,185,126,0.18);
    }
    .results-count.show {
      display: inline-flex;
      align-items: center;
    }
    .results-list {
      display: flex;
      flex-direction: column;
      gap: 14px;
    }
    .result-row {
      display: grid;
      grid-template-columns: minmax(0, 2.1fr) minmax(240px, 1.05fr) minmax(140px, 0.72fr);
      gap: 18px;
      align-items: center;
      background:
        linear-gradient(180deg, rgba(255,255,255,0.03), rgba(255,255,255,0.015)),
        var(--panel-strong);
      border: 1px solid rgba(255,255,255,0.06);
      border-radius: 22px;
      padding: 18px 20px;
      box-shadow: var(--shadow-lg);
      transition: transform var(--transition), box-shadow var(--transition), border-color var(--transition);
      position: relative;
      overflow: hidden;
    }
    .result-row::before {
      content: "";
      position: absolute;
      left: 0;
      top: 14px;
      bottom: 14px;
      width: 4px;
      border-radius: 999px;
      background: linear-gradient(180deg, var(--primary), var(--gold));
    }
    .result-row:hover {
      transform: translateY(-2px);
      border-color: rgba(91,185,126,0.18);
      box-shadow: 0 18px 36px rgba(0, 0, 0, 0.34);
    }
    .product-col {
      min-width: 0;
      padding-left: 8px;
    }
    .kicker {
      font-size: 11px;
      letter-spacing: 0.13em;
      text-transform: uppercase;
      color: #8ea594;
      font-weight: 800;
      margin-bottom: 7px;
    }
    .product-name {
      font-size: 22px;
      line-height: 1.32;
      font-weight: 800;
      color: #f3fbf5;
      word-break: break-word;
    }
    .product-sub {
      margin-top: 6px;
      font-size: 14px;
      color: #9db0a2;
    }
    .info-box {
      display: flex;
      flex-direction: column;
      gap: 7px;
      min-width: 0;
    }
    .info-label {
      font-size: 11px;
      letter-spacing: 0.12em;
      text-transform: uppercase;
      color: #8ea594;
      font-weight: 800;
    }
    .location-pill {
      display: inline-flex;
      align-items: center;
      gap: 8px;
      align-self: flex-start;
      max-width: 100%;
      padding: 11px 14px;
      border-radius: 999px;
      background: rgba(91,185,126,0.08);
      color: #d7efde;
      border: 1px solid rgba(91,185,126,0.16);
      font-size: 14px;
      font-weight: 800;
      word-break: break-word;
    }
    .status-box {
      display: flex;
      justify-content: flex-end;
    }
    .status-pill {
      display: inline-flex;
      align-items: center;
      justify-content: center;
      min-height: 44px;
      padding: 10px 14px;
      border-radius: 999px;
      background: rgba(255,255,255,0.04);
      border: 1px solid rgba(255,255,255,0.08);
      color: #e2efe5;
      font-size: 14px;
      font-weight: 800;
      text-align: center;
      min-width: 108px;
    }
    .state {
      border: 1px dashed rgba(255,255,255,0.10);
      background:
        linear-gradient(180deg, rgba(255,255,255,0.02), rgba(255,255,255,0.01)),
        var(--panel-soft);
      border-radius: 24px;
      padding: 44px 24px;
      text-align: center;
      color: var(--text-soft);
    }
    .state-icon {
      width: 68px;
      height: 68px;
      margin: 0 auto 16px;
      border-radius: 20px;
      display: grid;
      place-items: center;
      background: linear-gradient(135deg, rgba(91,185,126,0.10), rgba(190,162,106,0.10));
      color: #dff2e4;
      border: 1px solid rgba(255,255,255,0.06);
    }
    .state-title {
      font-size: 24px;
      font-weight: 800;
      color: #f1faf3;
      margin-bottom: 10px;
      letter-spacing: -0.02em;
    }
    .state-desc {
      max-width: 620px;
      margin: 0 auto;
      font-size: 15px;
      line-height: 1.7;
    }
    .empty-note {
      margin-top: 10px;
      font-size: 13px;
      color: #97aa9c;
    }
    .loading-row {
      display: flex;
      align-items: center;
      justify-content: center;
      gap: 12px;
      padding: 22px 12px;
      color: var(--text-soft);
      font-size: 15px;
      font-weight: 700;
    }
    .spinner {
      width: 18px;
      height: 18px;
      border-radius: 50%;
      border: 2px solid rgba(91,185,126,0.16);
      border-top-color: var(--primary);
      animation: spin 0.85s linear infinite;
    }
    @keyframes spin {
      to { transform: rotate(360deg); }
    }
    .footer-note {
      margin-top: 16px;
      font-size: 13px;
      color: #8ea394;
      text-align: center;
    }
    @media (max-width: 1050px) {
      .result-row {
        grid-template-columns: minmax(0, 1.7fr) minmax(200px, 1fr);
      }
      .result-row .status-box {
        grid-column: 1 / -1;
        justify-content: flex-start;
      }
    }
    @media (max-width: 760px) {
      body {
        padding: 14px;
      }
      .hero,
      .search-wrap,
      .content {
        padding-left: 16px;
        padding-right: 16px;
      }
      .hero {
        padding-top: 22px;
        padding-bottom: 20px;
      }
      .search-bar {
        grid-template-columns: 1fr;
      }
      .search-input {
        height: 58px;
        font-size: 16px;
        border-radius: 16px;
      }
      .search-btn {
        width: 100%;
        min-width: 0;
        height: 56px;
        border-radius: 16px;
      }
      .result-row {
        grid-template-columns: 1fr;
        gap: 14px;
        padding: 16px 16px 16px 18px;
        border-radius: 18px;
      }
      .product-name {
        font-size: 19px;
      }
      .location-pill,
      .status-pill {
        font-size: 13px;
      }
      .state {
        padding: 32px 18px;
      }
      .state-title {
        font-size: 21px;
      }
    }
  &lt;/style&gt;
&lt;/head&gt;
&lt;body&gt;
  &lt;main class="dashboard"&gt;
    &lt;section class="shell"&gt;
      &lt;div class="hero"&gt;
        &lt;div class="eyebrow"&gt;
          &lt;span class="eyebrow-dot"&gt;&lt;/span&gt;
          Painel executivo de inventário
        &lt;/div&gt;
        &lt;div class="hero-top"&gt;
          &lt;div class="hero-copy"&gt;
            &lt;h1&gt;Busca de Inventário&lt;/h1&gt;
            &lt;p&gt;
              Consulte rapidamente os produtos disponíveis e visualize a localização exata conforme o cabeçalho original da planilha, em um painel mais refinado e elegante.
            &lt;/p&gt;
          &lt;/div&gt;
          &lt;div class="hero-badge"&gt;Consulta executiva do estoque&lt;/div&gt;
        &lt;/div&gt;
      &lt;/div&gt;
      &lt;div class="search-wrap"&gt;
        &lt;form class="search-bar" onsubmit="buscar(event)"&gt;
          &lt;div class="input-wrap"&gt;
            &lt;svg class="input-icon" viewBox="0 0 24 24" fill="none" aria-hidden="true"&gt;
              &lt;path d="M21 21L16.65 16.65M18 11C18 14.866 14.866 18 11 18C7.13401 18 4 14.866 4 11C4 7.13401 7.13401 4 11 4C14.866 4 18 7.13401 18 11Z"
                    stroke="currentColor" stroke-width="2" stroke-linecap="round" stroke-linejoin="round"/&gt;
            &lt;/svg&gt;
            &lt;input
              id="termoBusca"
              class="search-input"
              type="text"
              placeholder="Busque por produto... Ex: patchouli + 10ml"
              autocomplete="off"
              oninput="agendarBusca()"
            /&gt;
          &lt;/div&gt;
          &lt;button id="searchBtn" class="search-btn" type="submit"&gt;Buscar&lt;/button&gt;
        &lt;/form&gt;
        &lt;div class="chips"&gt;
          &lt;button class="chip" type="button" onclick="buscarSugestao('mirra')"&gt;mirra&lt;/button&gt;
          &lt;button class="chip" type="button" onclick="buscarSugestao('roll on')"&gt;roll on&lt;/button&gt;
          &lt;button class="chip" type="button" onclick="buscarSugestao('lavanda')"&gt;lavanda&lt;/button&gt;
          &lt;button class="chip" type="button" onclick="buscarSugestao('patchouli')"&gt;patchouli&lt;/button&gt;
          &lt;button class="chip" type="button" onclick="buscarSugestao('alecrim')"&gt;alecrim&lt;/button&gt;
        &lt;/div&gt;
      &lt;/div&gt;
      &lt;div class="content"&gt;
        &lt;div class="meta"&gt;
          &lt;div class="meta-left"&gt;
            &lt;div id="statusText" class="status-text"&gt;Digite um termo para iniciar a busca.&lt;/div&gt;
            &lt;div id="resultsCount" class="results-count"&gt;&lt;/div&gt;
          &lt;/div&gt;
        &lt;/div&gt;
        &lt;div id="resultado"&gt;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A coluna de localização será exibida exatamente com o mesmo nome retornado pelo cabeçalho da planilha.
            &lt;/p&gt;
            &lt;div class="empty-note"&gt;Exemplo: &lt;strong&gt;patchouli + 10ml&lt;/strong&gt;&lt;/div&gt;
          &lt;/div&gt;
        &lt;/div&gt;
        &lt;div class="footer-note"&gt;Painel executivo escuro com lista horizontal e localização fiel ao cabeçalho da planilha.&lt;/div&gt;
      &lt;/div&gt;
    &lt;/section&gt;
  &lt;/main&gt;
  &lt;script&gt;
    let debounceTimer = null;
    let buscando = false;
    function agendarBusca() {
      clearTimeout(debounceTimer);
      debounceTimer = setTimeout(() =&gt; {
        const termo = document.getElementById("termoBusca").value.trim();
        if (!termo) {
          mostrarEstadoInicial();
          return;
        }
        buscar();
      }, 320);
    }
    function buscarSugestao(valor) {
      const input = document.getElementById("termoBusca");
      input.value = valor;
      input.focus();
      buscar();
    }
    function buscar(event) {
      if (event) event.preventDefault();
      const termo = document.getElementById("termoBusca").value.trim();
      if (!termo) {
        mostrarEstadoInicial();
        return;
      }
      if (buscando) return;
      buscando = true;
      atualizarBotao(true);
      mostrarLoading();
      atualizarStatus("Buscando no inventário...");
      google.script.run
        .withSuccessHandler(function(resultados) {
          buscando = false;
          atualizarBotao(false);
          renderizarResultados(Array.isArray(resultados) ? resultados : [], termo);
        })
        .withFailureHandler(function(erro) {
          buscando = false;
          atualizarBotao(false);
          mostrarErro(erro);
        })
        .buscarProdutosWeb(termo);
    }
    function atualizarBotao(carregando) {
      const btn = document.getElementById("searchBtn");
      btn.disabled = carregando;
      btn.textContent = carregando ? "Buscando..." : "Buscar";
    }
    function atualizarStatus(texto) {
      document.getElementById("statusText").textContent = texto;
    }
    function mostrarLoading() {
      document.getElementById("resultsCount").classList.remove("show");
      document.getElementById("resultado").innerHTML = `
        &lt;div class="loading-row"&gt;
          &lt;span class="spinner"&gt;&lt;/span&gt;
          Consultando produtos disponíveis...
        &lt;/div&gt;
      `;
    }
    function mostrarEstadoInicial() {
      atualizarStatus("Digite um termo para iniciar a busca.");
      document.getElementById("resultsCount").classList.remove("show");
      document.getElementById("resultado").innerHTML = `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A localização será exibida exatamente conforme o cabeçalho recebido da planilha.
          &lt;/p&gt;
          &lt;div class="empty-note"&gt;Exemplo: &lt;strong&gt;patchouli + 10ml&lt;/strong&gt;&lt;/div&gt;
        &lt;/div&gt;
      `;
    }
    function renderizarResultados(resultados, termo) {
      const resultsCount = document.getElementById("resultsCount");
      if (!resultados.length) {
        atualizarStatus(`Nenhum resultado encontrado para "${termo}".`);
        resultsCount.classList.remove("show");
        document.getElementById("resultado").innerHTML = `
          &lt;div class="state"&gt;
            &lt;div class="state-icon"&gt;
              &lt;svg width="28" height="28" viewBox="0 0 24 24" fill="none" aria-hidden="true"&gt;
                &lt;path d="M10.5 18C14.6421 18 18 14.6421 18 10.5C18 6.35786 14.6421 3 10.5 3C6.35786 3 3 6.35786 3 10.5C3 14.6421 6.35786 18 10.5 18Z"
                      stroke="currentColor" stroke-width="1.8" stroke-linecap="round" stroke-linejoin="round"/&gt;
                &lt;path d="M21 21L15.8 15.8"
                      stroke="currentColor" stroke-width="1.8" stroke-linecap="round" stroke-linejoin="round"/&gt;
              &lt;/svg&gt;
            &lt;/div&gt;
            &lt;div class="state-title"&gt;Nenhum produto encontrado&lt;/div&gt;
            &lt;p class="state-desc"&gt;
              Tente usar menos palavras ou termos mais amplos. Você também pode combinar palavras com &lt;strong&gt;+&lt;/strong&gt;.
            &lt;/p&gt;
            &lt;div class="empty-note"&gt;Exemplo: &lt;strong&gt;patchouli&lt;/strong&gt; ou &lt;strong&gt;patchouli + 10ml&lt;/strong&gt;&lt;/div&gt;
          &lt;/div&gt;
        `;
        return;
      }
      atualizarStatus(`Busca concluída para "${termo}".`);
      resultsCount.textContent = `${resultados.length} resultado${resultados.length &gt; 1 ? "s" : ""}`;
      resultsCount.classList.add("show");
      const lista = resultados.map(item =&gt; {
        const produto = escapeHtml(item.produto || "Produto sem nome");
        const localizacao = escapeHtml(item.caixa || "-");
        return `
          &lt;article class="result-row"&gt;
            &lt;div class="product-col"&gt;
              &lt;div class="kicker"&gt;Produto encontrado&lt;/div&gt;
              &lt;div class="product-name"&gt;${produto}&lt;/div&gt;
              &lt;div class="product-sub"&gt;Disponível no inventário&lt;/div&gt;
            &lt;/div&gt;
            &lt;div class="info-box"&gt;
              &lt;div class="info-label"&gt;Localização&lt;/div&gt;
              &lt;div class="location-pill"&gt;${localizacao}&lt;/div&gt;
            &lt;/div&gt;
            &lt;div class="status-box"&gt;
              &lt;div class="status-pill"&gt;Disponível&lt;/div&gt;
            &lt;/div&gt;
          &lt;/article&gt;
        `;
      }).join("");
      document.getElementById("resultado").innerHTML = `
        &lt;div class="results-list"&gt;
          ${lista}
        &lt;/div&gt;
      `;
    }
    function mostrarErro(erro) {
      atualizarStatus("Ocorreu um erro ao consultar o inventário.");
      document.getElementById("resultsCount").classList.remove("show");
      const mensagem = erro &amp;&amp; erro.message ? erro.message : "Não foi possível concluir a busca.";
      document.getElementById("resultado").innerHTML = `
        &lt;div class="state"&gt;
          &lt;div class="state-icon"&gt;
            &lt;svg width="28" height="28" viewBox="0 0 24 24" fill="none" aria-hidden="true"&gt;
              &lt;path d="M12 9V13M12 17H12.01M10.29 3.86L1.82 18C1.64539 18.3024 1.55372 18.6456 1.55402 18.995C1.55433 19.3444 1.6466 19.6875 1.82174 19.9896C1.99688 20.2917 2.24867 20.5423 2.55155 20.7161C2.85443 20.8899 3.1979 20.9808 3.547 20.98H20.453C20.8021 20.9808 21.1456 20.8899 21.4485 20.7161C21.7513 20.5423 22.0031 20.2917 22.1783 19.9896C22.3534 19.6875 22.4457 19.3444 22.446 18.995C22.4463 18.6456 22.3546 18.3024 22.18 18L13.71 3.86C13.5342 3.56611 13.2857 3.32291 12.9886 3.15342C12.6915 2.98392 12.3557 2.8938 12.0135 2.8916C11.6714 2.88939 11.3344 2.97519 11.0351 3.14084C10.7359 3.30649 10.4843 3.54647 10.305 3.838L10.29 3.86Z"
                    stroke="currentColor" stroke-width="1.7" stroke-linecap="round" stroke-linejoin="round"/&gt;
            &lt;/svg&gt;
          &lt;/div&gt;
          &lt;div class="state-title"&gt;Erro na consulta&lt;/div&gt;
          &lt;p class="state-desc"&gt;${escapeHtml(mensagem)}&lt;/p&gt;
        &lt;/div&gt;
      `;
    }
    function escapeHtml(text) {
      return String(text)
        .replace(/&amp;/g, "&amp;amp;")
        .replace(/&lt;/g, "&amp;lt;")
        .replace(/&gt;/g, "&amp;gt;")
        .replace(/"/g, "&amp;quot;")
        .replace(/'/g, "&amp;#039;");
    }
  &lt;/script&gt;
&lt;/body&gt;
&lt;/html&gt;</t>
  </si>
  <si>
    <t>Ruim</t>
  </si>
  <si>
    <t>&lt;!DOCTYPE html&gt;
&lt;html lang="pt-BR"&gt;
&lt;head&gt;
  &lt;meta charset="UTF-8"&gt;
  &lt;base target="_top"&gt;
  &lt;style&gt;
    *, *::before, *::after { box-sizing: border-box; margin: 0; padding: 0; }
    /* ── Body / fundo ──────────────────────────────────────────────────────────── */
    body {
      background: #f0f2f5;
      font-family: -apple-system, BlinkMacSystemFont, "Segoe UI", Roboto, Arial, sans-serif;
      color: #333;
      min-height: 100vh;
      display: flex;
      justify-content: center;
      align-items: flex-start;
      padding: 52px 16px 80px;
      position: relative;
      overflow-x: hidden;
    }
    /* ── Partículas hexagonais animadas no background ───────────────────────────── */
    .bg-particles {
      position: fixed;
      inset: 0;
      pointer-events: none;
      overflow: hidden;
      z-index: 0;
    }
    .hex {
      position: absolute;
      opacity: 0;
      animation: floatHex linear infinite;
    }
    .hex svg { display: block; }
    .hex:nth-child(1)  { left: 4%;   animation-duration: 22s; animation-delay: 0s;    width: 38px; }
    .hex:nth-child(2)  { left: 12%;  animation-duration: 28s; animation-delay: -6s;   width: 24px; }
    .hex:nth-child(3)  { left: 22%;  animation-duration: 18s; animation-delay: -3s;   width: 48px; }
    .hex:nth-child(4)  { left: 33%;  animation-duration: 32s; animation-delay: -11s;  width: 20px; }
    .hex:nth-child(5)  { left: 44%;  animation-duration: 24s; animation-delay: -7s;   width: 34px; }
    .hex:nth-child(6)  { left: 55%;  animation-duration: 20s; animation-delay: -2s;   width: 28px; }
    .hex:nth-child(7)  { left: 64%;  animation-duration: 26s; animation-delay: -14s;  width: 44px; }
    .hex:nth-child(8)  { left: 73%;  animation-duration: 30s; animation-delay: -5s;   width: 22px; }
    .hex:nth-child(9)  { left: 82%;  animation-duration: 21s; animation-delay: -9s;   width: 36px; }
    .hex:nth-child(10) { left: 90%;  animation-duration: 27s; animation-delay: -1s;   width: 18px; }
    .hex:nth-child(11) { left: 8%;   animation-duration: 35s; animation-delay: -18s;  width: 16px; }
    .hex:nth-child(12) { left: 50%;  animation-duration: 23s; animation-delay: -20s;  width: 30px; }
    @keyframes floatHex {
      0%   { transform: translateY(110vh) rotate(0deg);   opacity: 0; }
      5%   { opacity: 0.18; }
      90%  { opacity: 0.12; }
      100% { transform: translateY(-12vh) rotate(360deg); opacity: 0; }
    }
    /* ── Container principal ────────────────────────────────────────────────────── */
    .container {
      width: 100%;
      max-width: 860px;
      position: relative;
      z-index: 1;
      animation: fadeDown 0.5s ease both;
    }
    @keyframes fadeDown {
      from { opacity: 0; transform: translateY(-18px); }
      to   { opacity: 1; transform: translateY(0); }
    }
    /* ── Header fora do card ─────────────────────────────────────────────────────── */
    .header {
      display: flex;
      align-items: center;
      gap: 16px;
      margin-bottom: 22px;
      padding: 0 4px;
      animation: fadeDown 0.5s 0.05s ease both;
    }
    .header-icon {
      width: 54px; height: 54px;
      background: linear-gradient(135deg, #2e7d32, #43a047);
      border-radius: 15px;
      display: flex; align-items: center; justify-content: center;
      flex-shrink: 0;
      box-shadow:
        0 4px 18px rgba(46,125,50,0.40),
        0 1px 4px  rgba(46,125,50,0.22);
    }
    .header-icon svg {
      width: 26px; height: 26px;
      fill: none; stroke: #fff;
      stroke-width: 1.8; stroke-linecap: round; stroke-linejoin: round;
    }
    .title {
      font-size: 23px; font-weight: 700;
      color: #1a1a1a; letter-spacing: -0.5px;
    }
    .subtitle { font-size: 12.5px; color: #888; margin-top: 3px; }
    .kbd {
      display: inline-flex; align-items: center;
      background: rgba(255,255,255,0.8);
      border: 1px solid #ccc; border-bottom-width: 2px;
      border-radius: 4px; padding: 1px 6px;
      font-size: 11px; font-family: monospace; color: #555; line-height: 1.6;
    }
    /* ── Card ─────────────────────────────────────────────────────────────────────── */
    .card {
      background: #fff;
      border-radius: 22px;
      box-shadow:
        0 2px 4px   rgba(0,0,0,0.06),
        0 8px 28px  rgba(0,0,0,0.10),
        0 32px 72px rgba(0,0,0,0.08);
      overflow: hidden;
      animation: fadeDown 0.5s 0.1s ease both;
    }
    /* ── Faixa decorativa verde no topo do card ───────────────────────────────────── */
    .card-banner {
      height: 56px;
      background: linear-gradient(100deg, #1b5e20 0%, #2e7d32 45%, #43a047 100%);
      position: relative;
      overflow: hidden;
    }
    .card-banner svg.pattern {
      position: absolute;
      inset: 0;
      width: 100%; height: 100%;
      opacity: 0.18;
    }
    .card-banner-label {
      position: absolute;
      inset: 0;
      display: flex;
      align-items: center;
      padding: 0 28px;
      gap: 10px;
    }
    .card-banner-label svg {
      width: 20px; height: 20px;
      stroke: rgba(255,255,255,0.85);
      fill: none; stroke-width: 1.8;
      stroke-linecap: round; stroke-linejoin: round;
      flex-shrink: 0;
    }
    .card-banner-label span {
      font-size: 13px; font-weight: 600;
      color: rgba(255,255,255,0.88);
      letter-spacing: 0.3px;
    }
    /* ── Área de busca ────────────────────────────────────────────────────────────── */
    .search-area {
      padding: 26px 32px;
      border-bottom: 1px solid #f0f0f0;
    }
    .search-wrapper { position: relative; }
    .search-icon {
      position: absolute; left: 16px; top: 50%; transform: translateY(-50%);
      width: 19px; height: 19px; pointer-events: none; color: #b0b0b0;
    }
    .search-box {
      width: 100%;
      height: 56px;
      padding: 0 48px 0 48px;
      font-size: 16px;
      border-radius: 14px;
      border: 1.5px solid #e4e4e4;
      outline: none;
      transition: border-color 0.22s, box-shadow 0.22s, background 0.22s;
      background: #f7f8fa;
      color: #1a1a1a;
    }
    .search-box::placeholder { color: #bbb; }
    .search-box:focus {
      background: #fff;
      border-color: #43a047;
      box-shadow: 0 0 0 4px rgba(67,160,71,0.13);
    }
    .clear-btn {
      position: absolute; right: 13px; top: 50%; transform: translateY(-50%);
      background: #e4e4e4; border: none; cursor: pointer; color: #888;
      width: 26px; height: 26px; border-radius: 50%;
      display: none; align-items: center; justify-content: center;
      transition: background 0.15s, color 0.15s;
    }
    .clear-btn:hover { background: #d0d0d0; color: #333; }
    .clear-btn.visible { display: flex; }
    /* ── Chips de buscas recentes ─────────────────────────────────────────────────── */
    .recents-wrap { margin-top: 16px; }
    .recents-label {
      font-size: 10.5px; font-weight: 600; letter-spacing: 0.5px;
      text-transform: uppercase; color: #c0c0c0; margin-bottom: 8px;
    }
    .recents { display: flex; flex-wrap: wrap; gap: 6px; }
    .chip {
      display: inline-flex; align-items: center; gap: 5px;
      background: #f1f8f1; border: 1px solid #c8e6c9;
      border-radius: 20px; padding: 4px 6px 4px 9px;
      font-size: 12px; color: #2e7d32; line-height: 1;
      cursor: pointer;
      transition: background 0.15s, border-color 0.15s;
    }
    .chip:hover { background: #e0f2e1; border-color: #a5d6a7; }
    .chip-icon { flex-shrink: 0; opacity: 0.55; display: flex; }
    .chip-text {
      max-width: 140px; overflow: hidden;
      text-overflow: ellipsis; white-space: nowrap;
    }
    .chip-remove {
      background: none; border: none; cursor: pointer;
      color: #a5d6a7; padding: 0;
      display: flex; align-items: center; justify-content: center;
      border-radius: 50%; width: 18px; height: 18px;
      transition: color 0.15s, background 0.15s;
      flex-shrink: 0;
    }
    .chip-remove:hover { color: #2e7d32; background: rgba(46,125,50,0.12); }
    /* ── Área de resultados ───────────────────────────────────────────────────────── */
    .results-area { padding: 0 28px 28px; }
    /* ── Status bar ──────────────────────────────────────────────────────────────── */
    .status-bar {
      display: flex; align-items: center; justify-content: space-between;
      overflow: hidden;
      max-height: 0; opacity: 0; margin-bottom: 0;
      transition: max-height 0.22s ease, opacity 0.22s ease, margin-bottom 0.22s ease;
    }
    .status-bar.visible {
      max-height: 32px; opacity: 1; margin-bottom: 12px;
      margin-top: 20px;
    }
    .result-count { font-size: 12.5px; color: #aaa; }
    .result-count strong { color: #43a047; font-weight: 600; }
    .loading { display: none; align-items: center; gap: 7px; font-size: 12.5px; color: #aaa; }
    .loading.visible { display: flex; }
    .spinner {
      width: 13px; height: 13px;
      border: 2px solid #e0e0e0; border-top-color: #43a047;
      border-radius: 50%; animation: spin 0.65s linear infinite; flex-shrink: 0;
    }
    @keyframes spin { to { transform: rotate(360deg); } }
    /* ── Grid de resultados — 2 colunas quando há espaço ─────────────────────────── */
    .items-list {
      display: grid;
      grid-template-columns: 1fr;
      gap: 8px;
    }
    @media (min-width: 560px) {
      .items-list { grid-template-columns: 1fr 1fr; }
    }
    /* ── Item ────────────────────────────────────────────────────────────────────── */
    .item {
      padding: 13px 15px;
      border-radius: 12px;
      background: #f9fafb;
      border: 1.5px solid #ebebeb;
      display: flex; align-items: center; gap: 12px;
      transition: border-color 0.17s, box-shadow 0.17s, transform 0.17s;
      animation: itemIn 0.25s ease both;
    }
    @keyframes itemIn {
      from { opacity: 0; transform: translateY(10px) scale(0.98); }
      to   { opacity: 1; transform: translateY(0)   scale(1); }
    }
    .item:hover {
      border-color: #a5d6a7;
      box-shadow: 0 4px 14px rgba(46,125,50,0.11);
      transform: translateY(-2px);
    }
    .item-icon {
      width: 38px; height: 38px;
      background: #e8f5e9; border-radius: 10px;
      display: flex; align-items: center; justify-content: center; flex-shrink: 0;
    }
    .item-icon svg {
      width: 18px; height: 18px;
      stroke: #2e7d32; fill: none;
      stroke-width: 1.8; stroke-linecap: round; stroke-linejoin: round;
    }
    .item-info { flex: 1; min-width: 0; }
    .produto {
      font-size: 14px; font-weight: 500; color: #1a1a1a;
      white-space: nowrap; overflow: hidden; text-overflow: ellipsis;
    }
    .produto mark {
      background: #fff59d; color: inherit;
      border-radius: 2px; padding: 0 1px; font-weight: 600;
    }
    .caixa-badge {
      display: inline-flex; align-items: center; gap: 4px;
      background: #f1f8f1; color: #388e3c;
      border-radius: 6px; padding: 3px 8px;
      font-size: 11.5px; font-weight: 500; margin-top: 5px;
    }
    .caixa-badge svg {
      width: 11px; height: 11px;
      stroke: #388e3c; fill: none;
      stroke-width: 2; stroke-linecap: round; stroke-linejoin: round;
    }
    /* ── Estados visuais ─────────────────────────────────────────────────────────── */
    .state { text-align: center; }
    .state-hint  { padding: 56px 20px 64px; animation: fadeIn 0.3s ease both; }
    .state-empty { padding: 56px 20px 64px; animation: fadeIn 0.3s ease both; }
    .state-min   { padding: 32px 20px 40px; animation: fadeIn 0.3s ease both; }
    @keyframes fadeIn {
      from { opacity: 0; transform: scale(0.96); }
      to   { opacity: 1; transform: scale(1); }
    }
    .state-icon {
      width: 64px; height: 64px;
      border-radius: 18px;
      margin: 0 auto 16px;
      display: flex; align-items: center; justify-content: center;
    }
    .state-icon svg {
      fill: none;
      stroke-width: 1.5; stroke-linecap: round; stroke-linejoin: round;
    }
    .state-hint .state-icon  { background: #f0f4ff; }
    .state-hint .state-icon svg  { width: 30px; height: 30px; stroke: #7986cb; }
    .state-empty .state-icon { background: #fff8e1; }
    .state-empty .state-icon svg { width: 30px; height: 30px; stroke: #ffb300; }
    .state-min .state-icon   { background: #f5f5f5; }
    .state-min .state-icon svg   { width: 26px; height: 26px; stroke: #ccc; }
    .state-title { font-size: 15px; font-weight: 600; color: #999; margin-bottom: 5px; }
    .state-sub   { font-size: 12.5px; color: #c0c0c0; line-height: 1.55; }
    /* ── Erro ─────────────────────────────────────────────────────────────────────── */
    .error {
      margin-top: 20px;
      padding: 14px 16px;
      background: #fff5f5; border: 1.5px solid #ffcdd2;
      border-radius: 12px; color: #c62828;
      font-size: 13.5px; line-height: 1.4;
      display: flex; align-items: flex-start; gap: 10px;
    }
    .error-icon { flex-shrink: 0; margin-top: 1px; }
    .error-icon svg {
      width: 18px; height: 18px;
      stroke: #c62828; fill: none;
      stroke-width: 2; stroke-linecap: round; stroke-linejoin: round;
    }
  &lt;/style&gt;
&lt;/head&gt;
&lt;body&gt;
  &lt;!-- Partículas / hexágonos flutuantes no fundo --&gt;
  &lt;div class="bg-particles" aria-hidden="true"&gt;
    &lt;div class="hex"&gt;&lt;svg viewBox="0 0 100 115" xmlns="http://www.w3.org/2000/svg"&gt;&lt;polygon points="50,2 95,27 95,88 50,113 5,88 5,27" fill="none" stroke="#43a047" stroke-width="5"/&gt;&lt;/svg&gt;&lt;/div&gt;
    &lt;div class="hex"&gt;&lt;svg viewBox="0 0 100 115" xmlns="http://www.w3.org/2000/svg"&gt;&lt;polygon points="50,2 95,27 95,88 50,113 5,88 5,27" fill="none" stroke="#2e7d32" stroke-width="5"/&gt;&lt;/svg&gt;&lt;/div&gt;
    &lt;div class="hex"&gt;&lt;svg viewBox="0 0 100 115" xmlns="http://www.w3.org/2000/svg"&gt;&lt;polygon points="50,2 95,27 95,88 50,113 5,88 5,27" fill="#43a047" stroke="none" opacity="0.5"/&gt;&lt;/svg&gt;&lt;/div&gt;
    &lt;div class="hex"&gt;&lt;svg viewBox="0 0 100 115" xmlns="http://www.w3.org/2000/svg"&gt;&lt;polygon points="50,2 95,27 95,88 50,113 5,88 5,27" fill="none" stroke="#388e3c" stroke-width="6"/&gt;&lt;/svg&gt;&lt;/div&gt;
    &lt;div class="hex"&gt;&lt;svg viewBox="0 0 100 115" xmlns="http://www.w3.org/2000/svg"&gt;&lt;polygon points="50,2 95,27 95,88 50,113 5,88 5,27" fill="none" stroke="#43a047" stroke-width="4"/&gt;&lt;/svg&gt;&lt;/div&gt;
    &lt;div class="hex"&gt;&lt;svg viewBox="0 0 100 115" xmlns="http://www.w3.org/2000/svg"&gt;&lt;polygon points="50,2 95,27 95,88 50,113 5,88 5,27" fill="#2e7d32" stroke="none" opacity="0.4"/&gt;&lt;/svg&gt;&lt;/div&gt;
    &lt;div class="hex"&gt;&lt;svg viewBox="0 0 100 115" xmlns="http://www.w3.org/2000/svg"&gt;&lt;polygon points="50,2 95,27 95,88 50,113 5,88 5,27" fill="none" stroke="#66bb6a" stroke-width="5"/&gt;&lt;/svg&gt;&lt;/div&gt;
    &lt;div class="hex"&gt;&lt;svg viewBox="0 0 100 115" xmlns="http://www.w3.org/2000/svg"&gt;&lt;polygon points="50,2 95,27 95,88 50,113 5,88 5,27" fill="none" stroke="#2e7d32" stroke-width="4"/&gt;&lt;/svg&gt;&lt;/div&gt;
    &lt;div class="hex"&gt;&lt;svg viewBox="0 0 100 115" xmlns="http://www.w3.org/2000/svg"&gt;&lt;polygon points="50,2 95,27 95,88 50,113 5,88 5,27" fill="#43a047" stroke="none" opacity="0.35"/&gt;&lt;/svg&gt;&lt;/div&gt;
    &lt;div class="hex"&gt;&lt;svg viewBox="0 0 100 115" xmlns="http://www.w3.org/2000/svg"&gt;&lt;polygon points="50,2 95,27 95,88 50,113 5,88 5,27" fill="none" stroke="#388e3c" stroke-width="5"/&gt;&lt;/svg&gt;&lt;/div&gt;
    &lt;div class="hex"&gt;&lt;svg viewBox="0 0 100 115" xmlns="http://www.w3.org/2000/svg"&gt;&lt;polygon points="50,2 95,27 95,88 50,113 5,88 5,27" fill="none" stroke="#66bb6a" stroke-width="4"/&gt;&lt;/svg&gt;&lt;/div&gt;
    &lt;div class="hex"&gt;&lt;svg viewBox="0 0 100 115" xmlns="http://www.w3.org/2000/svg"&gt;&lt;polygon points="50,2 95,27 95,88 50,113 5,88 5,27" fill="none" stroke="#43a047" stroke-width="6"/&gt;&lt;/svg&gt;&lt;/div&gt;
  &lt;/div&gt;
  &lt;div class="container"&gt;
    &lt;!-- Header fora do card --&gt;
    &lt;div class="header"&gt;
      &lt;div class="header-icon"&gt;
        &lt;svg viewBox="0 0 24 24"&gt;
          &lt;rect x="2" y="7" width="20" height="14" rx="2"/&gt;
          &lt;path d="M16 7V5a2 2 0 0 0-2-2h-4a2 2 0 0 0-2 2v2"/&gt;
          &lt;line x1="12" y1="12" x2="12" y2="16"/&gt;
          &lt;line x1="10" y1="14" x2="14" y2="14"/&gt;
        &lt;/svg&gt;
      &lt;/div&gt;
      &lt;div&gt;
        &lt;div class="title"&gt;Busca de Inventário&lt;/div&gt;
        &lt;div class="subtitle"&gt;
          Use &lt;span class="kbd"&gt;+&lt;/span&gt; para combinar
          &amp;nbsp;·&amp;nbsp; &lt;span class="kbd"&gt;/&lt;/span&gt; para focar
          &amp;nbsp;·&amp;nbsp; mín. 2 caracteres
        &lt;/div&gt;
      &lt;/div&gt;
    &lt;/div&gt;
    &lt;!-- Card --&gt;
    &lt;div class="card"&gt;
      &lt;!-- Faixa decorativa verde com padrão geométrico SVG inline --&gt;
      &lt;div class="card-banner"&gt;
        &lt;!-- Padrão geométrico: losangos/triângulos repetidos --&gt;
        &lt;svg class="pattern" viewBox="0 0 860 56" preserveAspectRatio="xMidYMid slice" xmlns="http://www.w3.org/2000/svg"&gt;
          &lt;!-- Linhas diagonais repetidas --&gt;
          &lt;defs&gt;
            &lt;pattern id="geo" x="0" y="0" width="56" height="56" patternUnits="userSpaceOnUse"&gt;
              &lt;!-- Hexágono pequeno --&gt;
              &lt;polygon points="28,2 52,15 52,41 28,54 4,41 4,15" fill="none" stroke="#fff" stroke-width="1.2"/&gt;
              &lt;!-- Cruz central --&gt;
              &lt;line x1="28" y1="2"  x2="28" y2="54" stroke="#fff" stroke-width="0.6"/&gt;
              &lt;line x1="4"  y1="28" x2="52" y2="28" stroke="#fff" stroke-width="0.6"/&gt;
              &lt;!-- Diagonais --&gt;
              &lt;line x1="4"  y1="15" x2="52" y2="41" stroke="#fff" stroke-width="0.5"/&gt;
              &lt;line x1="4"  y1="41" x2="52" y2="15" stroke="#fff" stroke-width="0.5"/&gt;
              &lt;!-- Losango central --&gt;
              &lt;polygon points="28,8 48,28 28,48 8,28" fill="none" stroke="#fff" stroke-width="0.8"/&gt;
            &lt;/pattern&gt;
          &lt;/defs&gt;
          &lt;rect width="860" height="56" fill="url(#geo)"/&gt;
        &lt;/svg&gt;
        &lt;div class="card-banner-label"&gt;
          &lt;svg viewBox="0 0 24 24"&gt;
            &lt;circle cx="11" cy="11" r="8"/&gt;
            &lt;line x1="21" y1="21" x2="16.65" y2="16.65"/&gt;
          &lt;/svg&gt;
          &lt;span&gt;Localize produtos por nome ou combinação de termos&lt;/span&gt;
        &lt;/div&gt;
      &lt;/div&gt;
      &lt;!-- Seção de busca --&gt;
      &lt;div class="search-area"&gt;
        &lt;div class="search-wrapper"&gt;
          &lt;svg class="search-icon" viewBox="0 0 24 24" fill="none" stroke="currentColor"
               stroke-width="2" stroke-linecap="round" stroke-linejoin="round"&gt;
            &lt;circle cx="11" cy="11" r="8"/&gt;
            &lt;line x1="21" y1="21" x2="16.65" y2="16.65"/&gt;
          &lt;/svg&gt;
          &lt;input
            id="search"
            class="search-box"
            type="text"
            placeholder="Ex: mirra + roll on"
            autocomplete="off"
            spellcheck="false"
            autofocus
          &gt;
          &lt;button class="clear-btn" id="clearBtn" title="Limpar" aria-label="Limpar busca"&gt;
            &lt;svg width="10" height="10" viewBox="0 0 24 24" fill="none" stroke="currentColor"
                 stroke-width="3" stroke-linecap="round"&gt;
              &lt;line x1="18" y1="6" x2="6" y2="18"/&gt;
              &lt;line x1="6" y1="6" x2="18" y2="18"/&gt;
            &lt;/svg&gt;
          &lt;/button&gt;
        &lt;/div&gt;
        &lt;div id="recentsWrap" style="display:none"&gt;
          &lt;div class="recents-wrap"&gt;
            &lt;div class="recents-label"&gt;Buscas recentes&lt;/div&gt;
            &lt;div class="recents" id="recents"&gt;&lt;/div&gt;
          &lt;/div&gt;
        &lt;/div&gt;
      &lt;/div&gt;
      &lt;!-- Seção de resultados --&gt;
      &lt;div class="results-area"&gt;
        &lt;div class="status-bar" id="statusBar"&gt;
          &lt;div class="result-count" id="resultCount"&gt;&lt;/div&gt;
          &lt;div class="loading" id="loading"&gt;
            &lt;div class="spinner"&gt;&lt;/div&gt;
            Buscando…
          &lt;/div&gt;
        &lt;/div&gt;
        &lt;div id="results"&gt;&lt;/div&gt;
      &lt;/div&gt;
    &lt;/div&gt;
  &lt;/div&gt;
  &lt;script&gt;
    var RECENTS_KEY = "inv_recents";
    var MAX_RECENTS = 6;
    var debounceTimer = null;
    var searchInput = document.getElementById("search");
    var clearBtn    = document.getElementById("clearBtn");
    var resultsEl   = document.getElementById("results");
    var loadingEl   = document.getElementById("loading");
    var countEl     = document.getElementById("resultCount");
    var statusBar   = document.getElementById("statusBar");
    var recentsEl   = document.getElementById("recents");
    var recentsWrap = document.getElementById("recentsWrap");
    // ── Atalhos de teclado ─────────────────────────────────────────────────────
    document.addEventListener("keydown", function(e) {
      if (e.key === "/" &amp;&amp; document.activeElement !== searchInput) {
        e.preventDefault();
        searchInput.focus();
        searchInput.select();
      }
      if (e.key === "Escape" &amp;&amp; document.activeElement === searchInput) {
        searchInput.blur();
      }
    });
    // ── Eventos do campo ───────────────────────────────────────────────────────
    searchInput.addEventListener("input", onInput);
    clearBtn.addEventListener("click", clearSearch);
    function onInput() {
      var termo = searchInput.value;
      clearBtn.classList.toggle("visible", termo.length &gt; 0);
      clearTimeout(debounceTimer);
      if (!termo.trim())            { showHint();     return; }
      if (termo.trim().length &lt; 2)  { showMinChars(); return; }
      debounceTimer = setTimeout(function() { buscar(termo); }, 300);
    }
    function clearSearch() {
      searchInput.value = "";
      clearBtn.classList.remove("visible");
      showHint();
      searchInput.focus();
    }
    // ── Status bar dinâmica ────────────────────────────────────────────────────
    function showStatusBar() { statusBar.classList.add("visible"); }
    function hideStatusBar() {
      statusBar.classList.remove("visible");
      countEl.innerHTML = "";
    }
    // ── Buscas recentes (localStorage) ────────────────────────────────────────
    function getRecents() {
      try { return JSON.parse(localStorage.getItem(RECENTS_KEY)) || []; }
      catch(e) { return []; }
    }
    function saveRecent(termo) {
      var t = termo.trim();
      if (!t || t.length &lt; 2) return;
      var recents = getRecents().filter(function(r) { return r !== t; });
      recents.unshift(t);
      recents = recents.slice(0, MAX_RECENTS);
      localStorage.setItem(RECENTS_KEY, JSON.stringify(recents));
      renderRecents();
    }
    function removeRecent(termo) {
      var recents = getRecents().filter(function(r) { return r !== termo; });
      localStorage.setItem(RECENTS_KEY, JSON.stringify(recents));
      renderRecents();
    }
    function renderRecents() {
      var recents = getRecents();
      recentsEl.innerHTML = "";
      if (!recents.length) {
        recentsWrap.style.display = "none";
        return;
      }
      recentsWrap.style.display = "block";
      recents.forEach(function(r) {
        var chip = document.createElement("button");
        chip.className = "chip";
        chip.type = "button";
        var iconEl = document.createElement("span");
        iconEl.className = "chip-icon";
        iconEl.innerHTML =
          '&lt;svg width="11" height="11" viewBox="0 0 24 24" fill="none" stroke="currentColor" ' +
              'stroke-width="2" stroke-linecap="round" stroke-linejoin="round"&gt;' +
            '&lt;circle cx="12" cy="12" r="10"/&gt;' +
            '&lt;polyline points="12 6 12 12 16 14"/&gt;' +
          '&lt;/svg&gt;';
        var textEl = document.createElement("span");
        textEl.className = "chip-text";
        textEl.textContent = r;
        var removeBtn = document.createElement("button");
        removeBtn.className = "chip-remove";
        removeBtn.type = "button";
        removeBtn.setAttribute("aria-label", "Remover");
        removeBtn.innerHTML =
          '&lt;svg width="8" height="8" viewBox="0 0 24 24" fill="none" stroke="currentColor" ' +
              'stroke-width="3.5" stroke-linecap="round"&gt;' +
            '&lt;line x1="18" y1="6" x2="6" y2="18"/&gt;' +
            '&lt;line x1="6" y1="6" x2="18" y2="18"/&gt;' +
          '&lt;/svg&gt;';
        removeBtn.addEventListener("click", function(e) {
          e.stopPropagation();
          removeRecent(r);
        });
        chip.addEventListener("click", function() {
          searchInput.value = r;
          clearBtn.classList.add("visible");
          buscar(r);
        });
        chip.appendChild(iconEl);
        chip.appendChild(textEl);
        chip.appendChild(removeBtn);
        recentsEl.appendChild(chip);
      });
    }
    // ── Chamada à API ──────────────────────────────────────────────────────────
    function buscar(termo) {
      setLoading(true);
      showStatusBar();
      resultsEl.innerHTML = "";
      google.script.run
        .withSuccessHandler(function(data) { render(data, termo); })
        .withFailureHandler(onError)
        .buscarProdutosWeb(termo);
    }
    // ── Renderização dos resultados ────────────────────────────────────────────
    function render(data, termo) {
      setLoading(false);
      resultsEl.innerHTML = "";
      if (!data || data.length === 0) {
        hideStatusBar();
        resultsEl.appendChild(buildState("empty"));
        return;
      }
      saveRecent(termo);
      var total = data.length;
      countEl.innerHTML =
        "&lt;strong&gt;" + total + "&lt;/strong&gt; produto" + (total !== 1 ? "s" : "") +
        " encontrado" + (total !== 1 ? "s" : "");
      showStatusBar();
      var palavras = termo.toLowerCase()
        .split("+").map(function(p) { return p.trim(); }).filter(Boolean);
      var list = document.createElement("div");
      list.className = "items-list";
      var fragment = document.createDocumentFragment();
      data.forEach(function(item, i) {
        var div = document.createElement("div");
        div.className = "item";
        div.style.animationDelay = (i * 40) + "ms";
        var iconWrap = document.createElement("div");
        iconWrap.className = "item-icon";
        iconWrap.innerHTML =
          '&lt;svg viewBox="0 0 24 24"&gt;' +
            '&lt;path d="M21 16V8a2 2 0 0 0-1-1.73l-7-4a2 2 0 0 0-2 0l-7 4A2 2 0 0 0 3 8v8' +
                    'a2 2 0 0 0 1 1.73l7 4a2 2 0 0 0 2 0l7-4A2 2 0 0 0 21 16z"/&gt;' +
            '&lt;polyline points="3.27 6.96 12 12.01 20.73 6.96"/&gt;' +
            '&lt;line x1="12" y1="22.08" x2="12" y2="12"/&gt;' +
          '&lt;/svg&gt;';
        var info = document.createElement("div");
        info.className = "item-info";
        var nome = document.createElement("div");
        nome.className = "produto";
        nome.innerHTML = highlight(item.produto, palavras);
        var badge = document.createElement("div");
        badge.className = "caixa-badge";
        badge.innerHTML =
          '&lt;svg viewBox="0 0 24 24"&gt;' +
            '&lt;rect x="1" y="3" width="15" height="13"/&gt;' +
            '&lt;polygon points="16 8 20 8 23 11 23 16 16 16 16 8"/&gt;' +
            '&lt;circle cx="5.5" cy="18.5" r="2.5"/&gt;' +
            '&lt;circle cx="18.5" cy="18.5" r="2.5"/&gt;' +
          '&lt;/svg&gt;';
        badge.appendChild(document.createTextNode(item.caixa));
        info.appendChild(nome);
        info.appendChild(badge);
        div.appendChild(iconWrap);
        div.appendChild(info);
        fragment.appendChild(div);
      });
      list.appendChild(fragment);
      resultsEl.appendChild(list);
    }
    // ── Destaque de termos ─────────────────────────────────────────────────────
    function highlight(text, palavras) {
      var safe = text
        .replace(/&amp;/g, "&amp;amp;")
        .replace(/&lt;/g, "&amp;lt;")
        .replace(/&gt;/g, "&amp;gt;");
      palavras.forEach(function(p) {
        if (!p) return;
        var re = new RegExp(p.replace(/[.*+?^${}()|[\]\\]/g, "\\$&amp;"), "gi");
        safe = safe.replace(re, function(m) { return "&lt;mark&gt;" + m + "&lt;/mark&gt;"; });
      });
      return safe;
    }
    // ── Erro (withFailureHandler) ──────────────────────────────────────────────
    function onError(err) {
      setLoading(false);
      hideStatusBar();
      resultsEl.innerHTML = "";
      var errDiv = document.createElement("div");
      errDiv.className = "error";
      var iconWrap = document.createElement("div");
      iconWrap.className = "error-icon";
      iconWrap.innerHTML =
        '&lt;svg viewBox="0 0 24 24"&gt;' +
          '&lt;path d="M10.29 3.86L1.82 18a2 2 0 0 0 1.71 3h16.94a2 2 0 0 0 1.71-3' +
                  'L13.71 3.86a2 2 0 0 0-3.42 0z"/&gt;' +
          '&lt;line x1="12" y1="9" x2="12" y2="13"/&gt;' +
          '&lt;line x1="12" y1="17" x2="12.01" y2="17"/&gt;' +
        '&lt;/svg&gt;';
      var msg = document.createElement("span");
      msg.textContent = "Erro ao buscar. Verifique sua conexão e tente novamente.";
      errDiv.appendChild(iconWrap);
      errDiv.appendChild(msg);
      resultsEl.appendChild(errDiv);
    }
    // ── Auxiliares ─────────────────────────────────────────────────────────────
    function setLoading(on) { loadingEl.classList.toggle("visible", on); }
    function showHint() {
      hideStatusBar();
      resultsEl.innerHTML = "";
      resultsEl.appendChild(buildState("hint"));
    }
    function showMinChars() {
      hideStatusBar();
      resultsEl.innerHTML = "";
      resultsEl.appendChild(buildState("min"));
    }
    function buildState(type) {
      var wrap = document.createElement("div");
      wrap.className = "state";
      if (type === "hint") {
        wrap.classList.add("state-hint");
        wrap.innerHTML =
          '&lt;div class="state-icon"&gt;' +
            '&lt;svg viewBox="0 0 24 24"&gt;' +
              '&lt;circle cx="11" cy="11" r="8"/&gt;' +
              '&lt;line x1="21" y1="21" x2="16.65" y2="16.65"/&gt;' +
            '&lt;/svg&gt;' +
          '&lt;/div&gt;' +
          '&lt;div class="state-title"&gt;Busca de Inventário&lt;/div&gt;' +
          '&lt;div class="state-sub"&gt;Digite o nome do produto para localizar&lt;/div&gt;';
      } else if (type === "empty") {
        wrap.classList.add("state-empty");
        wrap.innerHTML =
          '&lt;div class="state-icon"&gt;' +
            '&lt;svg viewBox="0 0 24 24"&gt;' +
              '&lt;circle cx="11" cy="11" r="8"/&gt;' +
              '&lt;line x1="21" y1="21" x2="16.65" y2="16.65"/&gt;' +
              '&lt;line x1="8" y1="11" x2="14" y2="11"/&gt;' +
            '&lt;/svg&gt;' +
          '&lt;/div&gt;' +
          '&lt;div class="state-title"&gt;Nenhum produto encontrado&lt;/div&gt;' +
          '&lt;div class="state-sub"&gt;Tente outros termos&lt;br&gt;ou verifique a grafia&lt;/div&gt;';
      } else {
        wrap.classList.add("state-min");
        wrap.innerHTML =
          '&lt;div class="state-icon"&gt;' +
            '&lt;svg viewBox="0 0 24 24"&gt;' +
              '&lt;circle cx="11" cy="11" r="8"/&gt;' +
              '&lt;line x1="21" y1="21" x2="16.65" y2="16.65"/&gt;' +
            '&lt;/svg&gt;' +
          '&lt;/div&gt;' +
          '&lt;div class="state-title"&gt;Digite ao menos 2 caracteres&lt;/div&gt;';
      }
      return wrap;
    }
    // ── Init ───────────────────────────────────────────────────────────────────
    renderRecents();
    showHint();
  &lt;/script&gt;
&lt;/body&gt;
&lt;/html&gt;</t>
  </si>
  <si>
    <t>Analise o meu .gs e os meus .html no GitHub
Preciso de alguns ajustes:
A versão mobile atual apresenta problemas de usabilidade, com elementos desproporcionais para telas menores.
É necessário:
Criar uma versão mobile otimizada, com layout responsivo adequado.
Garantir que a versão mobile seja carregada automaticamente em dispositivos móveis.
Adicionar, se possível, um botão que permita alternar manualmente para a versão mobile, caso ela não seja detectada corretamente.
Padronização da aba "Validade" Desejo que o botão de envio de relatórios por e-mail da aba "validade" seja padronizado conforme a aba "inventário", incluindo:
Layout
Funcionalidade
Aparência visual
Melhorias no envio de e-mails Para as abas "inventário" e "validade", implementar:
Campo com e-mails pré-preenchidos, permitindo salvar destinatários frequentes.
Opção de envio para múltiplos e-mails simultaneamente.
Reposicionamento da caixa de inserção de e-mail para o centro do Dashboard, pois atualmente está muito abaixo.
Pré-visualização do e-mail Antes do envio do relatório:
Incluir uma pré-visualização do e-mail em formato de popup/modal.
Permitir revisão do conteúdo antes da confirmação do envio.
Assunto do e-mail Ajustar o assunto do e-mail da aba "inventário" para algo como:
"Essência do Brasil – Para Produção dos Rótulos..."
Correção do botão "Indisponibilidade da Etiqueta" O botão está parcialmente funcional. Ajustar para:
Atualizar corretamente a aba "inventário", inserindo o valor 0 na célula correspondente ao item.
Atualmente, ele apenas adiciona dados na aba "status_inativos", o que não impede que o item continue aparecendo nas buscas do Dashboard.
Garantir consistência entre as abas para evitar resultados incorretos na busca.
Nova aba "Sem Etiqueta" no Dashboard
Criar uma aba chamada "Sem Etiqueta" no Dashboard.
Essa aba deve refletir os dados da aba "status_inativos" da planilha.
Organização do código (HTML/CSS)
Dividir o arquivo de estilos (.html / CSS) em partes menores e organizadas.
O arquivo atual está muito grande, dificultando manutenção e futuras edições.
Melhoria visual da lupa (ícone do home)
Tornar a animação da lupa (rotação 360°) mais realista.
Adicionar elementos visuais futuristas ao redor para enriquecer a estética.
Melhorar detalhamento e acabamento visual.
Se tiver dúvidas, por favor, perguntar antes de preparar o prompt para que possa ser feito certo, como solicitado. Analíse os prints que enviei também, são importantes para você entender melhor.
Só preciso do prompt pronto para que eu possa fazer o envio pelo meu Claude Code CLI no Windows</t>
  </si>
  <si>
    <t>function include(filename) {
  return HtmlService.createHtmlOutputFromFile(filename).getContent();
}
function doGet() {
  return HtmlService.createTemplateFromFile('index')
    .evaluate()
    .setXFrameOptionsMode(HtmlService.XFrameOptionsMode.ALLOWALL)
    .setTitle('Essência do Brasil — Sistema de Gestão');
}
function buscarProdutosWeb(termoBusca) {
  var ss    = SpreadsheetApp.getActiveSpreadsheet();
  var sheet = ss.getSheetByName("Inventário");
  var dados = sheet.getDataRange().getValues();
  var HEADER_ROW = 0;
  var START_ROW  = 1;
  var palavras = termoBusca
    .toLowerCase()
    .split("+")
    .map(function(p) { return p.trim(); })
    .filter(function(p) { return p; });
  var inativos = getInativosSet();
  var resultados = [];
  for (var i = START_ROW; i &lt; dados.length; i++) {
    for (var j = 2; j &lt; dados[0].length; j += 2) {
      var produto = dados[i][j];
      var qtd     = dados[i][j + 1];
      var caixa   = dados[HEADER_ROW][j];
      if (!produto || !qtd || qtd &lt;= 0) continue;
      var nome  = produto.toString().toLowerCase();
      var match = palavras.every(function(p) { return nome.indexOf(p) !== -1; });
      if (match) {
        var key = produto.toString() + '|' + caixa.toString();
        resultados.push({ produto: produto, caixa: caixa, ativo: inativos.indexOf(key) === -1 });
      }
    }
  }
  return resultados;
}
function getInativosSet() {
  var ss = SpreadsheetApp.getActiveSpreadsheet();
  var sh = ss.getSheetByName('Status_Inativos');
  if (!sh || sh.getLastRow() &lt; 2) return [];
  var data = sh.getRange(2, 1, sh.getLastRow() - 1, 2).getValues();
  return data
    .filter(function(r) { return r[0] &amp;&amp; r[1]; })
    .map(function(r) { return r[0].toString() + '|' + r[1].toString(); });
}
function setProductStatus(produto, caixa, ativo) {
  var ss = SpreadsheetApp.getActiveSpreadsheet();
  var sh = ss.getSheetByName('Status_Inativos');
  if (!sh) {
    sh = ss.insertSheet('Status_Inativos');
    sh.getRange(1,1,1,2).setValues([['Produto','Caixa']]);
    sh.getRange(1,1,1,2).setFontWeight('bold');
  }
  var lastRow = sh.getLastRow();
  var existingRow = -1;
  if (lastRow &gt;= 2) {
    var data = sh.getRange(2, 1, lastRow - 1, 2).getValues();
    for (var i = 0; i &lt; data.length; i++) {
      if (data[i][0].toString() === produto.toString() &amp;&amp;
          data[i][1].toString() === caixa.toString()) {
        existingRow = i + 2;
        break;
      }
    }
  }
  if (!ativo) {
    if (existingRow &lt; 0) sh.appendRow([produto, caixa]);
  } else {
    if (existingRow &gt; 0) sh.deleteRow(existingRow);
  }
  return { sucesso: true, produto: produto, ativo: ativo };
}
function enviarRelatorioInativosEmail(destinatario) {
  var ss = SpreadsheetApp.getActiveSpreadsheet();
  var sh = ss.getSheetByName('Status_Inativos');
  if (!sh || sh.getLastRow() &lt; 2)
    return { sucesso: true, mensagem: 'Nenhum produto inativo encontrado.' };
  var data = sh.getRange(2, 1, sh.getLastRow()-1, 2).getValues();
  var inativos = data.filter(function(r) { return r[0] &amp;&amp; r[1]; });
  if (inativos.length === 0)
    return { sucesso: true, mensagem: 'Nenhum produto inativo encontrado.' };
  var dataStr = Utilities.formatDate(
    new Date(), Session.getScriptTimeZone(), 'dd/MM/yyyy HH:mm');
  var linhas = inativos.map(function(r) {
    return '&lt;tr&gt;' +
      '&lt;td style="padding:10px 14px;border-bottom:1px solid #1e3a22;"&gt;' + r[0] + '&lt;/td&gt;' +
      '&lt;td style="padding:10px 14px;border-bottom:1px solid #1e3a22;color:#777;"&gt;' + r[1] + '&lt;/td&gt;&lt;/tr&gt;';
  }).join('');
  var html =
    '&lt;div style="font-family:Arial,sans-serif;max-width:600px;margin:0 auto;' +
    'background:#040d06;color:#ccc;padding:32px;border-radius:8px;"&gt;' +
    '&lt;h2 style="color:#00ff96;margin:0 0 4px;font-size:20px;"&gt;Relatório — Produtos Inativos&lt;/h2&gt;' +
    '&lt;p style="color:#666;font-size:13px;margin:0 0 24px;"&gt;Essência do Brasil · ' + dataStr + '&lt;/p&gt;' +
    '&lt;table style="width:100%;border-collapse:collapse;"&gt;' +
    '&lt;tr&gt;&lt;th style="text-align:left;padding:10px 14px;color:#00ff96;border-bottom:2px solid #1e4a28;font-size:12px;letter-spacing:1px;"&gt;PRODUTO&lt;/th&gt;' +
    '&lt;th style="text-align:left;padding:10px 14px;color:#00ff96;border-bottom:2px solid #1e4a28;font-size:12px;letter-spacing:1px;"&gt;CAIXA&lt;/th&gt;&lt;/tr&gt;' +
    linhas +
    '&lt;/table&gt;&lt;p style="margin-top:20px;font-size:12px;color:#555;"&gt;Total: &lt;strong style="color:#00ff96;"&gt;' +
    inativos.length + '&lt;/strong&gt; produto(s) inativo(s)&lt;/p&gt;&lt;/div&gt;';
  MailApp.sendEmail({
    to: destinatario,
    subject: 'Produtos Inativos — Essência do Brasil (' + dataStr + ')',
    htmlBody: html
  });
  return { sucesso: true, mensagem: 'Relatório enviado para ' + destinatario };
}
function enviarRelatorioInativo() {
  var ss    = SpreadsheetApp.getActiveSpreadsheet();
  var sheet = ss.getSheetByName("Validade");
  if (!sheet) return { ok: false, msg: 'Aba "Validade" não encontrada.' };
  var rows     = sheet.getDataRange().getValues();
  var vencidos = [];
  var criticos = [];
  for (var i = 1; i &lt; rows.length; i++) {
    var r = rows[i];
    if (!r[1]) continue;
    var item = {
      produto:       String(r[1]  || ''),
      validade:      String(r[5]  || ''),
      dias:          Number(r[6]) || 0,
      status:        String(r[7]  || ''),
      estoque:       String(r[9]  || ''),
      observacao:    String(r[10] || '')
    };
    if (item.dias &lt; 0)        vencidos.push(item);
    else if (item.dias &lt;= 30) criticos.push(item);
  }
  if (!vencidos.length &amp;&amp; !criticos.length) {
    return { ok: true, msg: 'Nenhum produto crítico ou vencido para reportar.' };
  }
  var tz  = Session.getScriptTimeZone();
  var now = Utilities.formatDate(new Date(), tz, 'dd/MM/yyyy HH:mm');
  function tableRows(list, cor) {
    var out = '';
    for (var k = 0; k &lt; list.length; k++) {
      var p  = list[k];
      var bg = (k % 2 === 0) ? '#fafafa' : '#ffffff';
      out += '&lt;tr style="background:' + bg + '"&gt;' +
             '&lt;td style="padding:8px 10px;color:#333"&gt;'                      + p.produto   + '&lt;/td&gt;' +
             '&lt;td style="padding:8px 10px;text-align:center;color:#555"&gt;'    + p.validade  + '&lt;/td&gt;' +
             '&lt;td style="padding:8px 10px;text-align:center;color:' + cor + ';font-weight:700"&gt;' + p.dias + 'd&lt;/td&gt;' +
             '&lt;td style="padding:8px 10px;text-align:center;color:#555"&gt;'    + p.estoque   + '&lt;/td&gt;' +
             '&lt;/tr&gt;';
    }
    return out;
  }
  var html = '' +
    '&lt;div style="font-family:Arial,sans-serif;max-width:700px;margin:0 auto;background:#f4f4f4;padding:20px"&gt;' +
      '&lt;div style="background:#071a0b;border-radius:12px;padding:24px;margin-bottom:20px"&gt;' +
        '&lt;h1 style="margin:0 0 6px;font-size:22px;color:#00e676"&gt;Essência do Brasil&lt;/h1&gt;' +
        '&lt;p style="margin:0;font-size:11px;color:rgba(0,230,118,0.6);letter-spacing:1px"&gt;RELATÓRIO DE VALIDADE — ' + now + '&lt;/p&gt;' +
      '&lt;/div&gt;';
  if (vencidos.length) {
    html += '' +
      '&lt;div style="background:#fff;border-radius:10px;padding:20px;margin-bottom:16px;border-left:4px solid #c62828"&gt;' +
        '&lt;h2 style="color:#c62828;margin:0 0 14px;font-size:16px"&gt;&amp;#9888; Vencidos (' + vencidos.length + ')&lt;/h2&gt;' +
        '&lt;table style="width:100%;border-collapse:collapse;font-size:13px"&gt;' +
          '&lt;tr style="background:#ffebee"&gt;' +
            '&lt;th style="text-align:left;padding:8px 10px;color:#c62828"&gt;Produto&lt;/th&gt;' +
            '&lt;th style="padding:8px 10px;color:#c62828"&gt;Validade&lt;/th&gt;' +
            '&lt;th style="padding:8px 10px;color:#c62828"&gt;Dias&lt;/th&gt;' +
            '&lt;th style="padding:8px 10px;color:#c62828"&gt;Estoque&lt;/th&gt;' +
          '&lt;/tr&gt;' +
          tableRows(vencidos, '#c62828') +
        '&lt;/table&gt;' +
      '&lt;/div&gt;';
  }
  if (criticos.length) {
    html += '' +
      '&lt;div style="background:#fff;border-radius:10px;padding:20px;margin-bottom:16px;border-left:4px solid #e65100"&gt;' +
        '&lt;h2 style="color:#e65100;margin:0 0 14px;font-size:16px"&gt;&amp;#9888; Críticos — vence em até 30 dias (' + criticos.length + ')&lt;/h2&gt;' +
        '&lt;table style="width:100%;border-collapse:collapse;font-size:13px"&gt;' +
          '&lt;tr style="background:#fff3e0"&gt;' +
            '&lt;th style="text-align:left;padding:8px 10px;color:#e65100"&gt;Produto&lt;/th&gt;' +
            '&lt;th style="padding:8px 10px;color:#e65100"&gt;Validade&lt;/th&gt;' +
            '&lt;th style="padding:8px 10px;color:#e65100"&gt;Dias&lt;/th&gt;' +
            '&lt;th style="padding:8px 10px;color:#e65100"&gt;Estoque&lt;/th&gt;' +
          '&lt;/tr&gt;' +
          tableRows(criticos, '#e65100') +
        '&lt;/table&gt;' +
      '&lt;/div&gt;';
  }
  html += '' +
      '&lt;div style="text-align:center;padding:16px;color:#aaa;font-size:11px"&gt;' +
        'Gerado automaticamente pelo Sistema de Gestão Essência do Brasil' +
      '&lt;/div&gt;' +
    '&lt;/div&gt;';
  var subject = '[Essência do Brasil] Validade — ' +
                vencidos.length + ' vencido(s) · ' +
                criticos.length + ' crítico(s) · ' + now;
  GmailApp.sendEmail(
    Session.getEffectiveUser().getEmail(),
    subject,
    'Este e-mail requer suporte a HTML para ser exibido corretamente.',
    { htmlBody: html }
  );
  return {
    ok:  true,
    msg: 'Relatório enviado: ' + vencidos.length + ' vencido(s) e ' + criticos.length + ' crítico(s).'
  };
}
function getValidadeData() {
  var ss    = SpreadsheetApp.getActiveSpreadsheet();
  var sheet = ss.getSheetByName("Validade");
  if (!sheet) return [];
  var rows   = sheet.getDataRange().getValues();
  var result = [];
  for (var i = 1; i &lt; rows.length; i++) {
    var r = rows[i];
    if (!r[1]) continue;
    result.push({
      codigoBarras:    String(r[0]  || ""),
      produto:         String(r[1]  || ""),
      dataProducao:    String(r[2]  || ""),
      etiqueta:        String(r[3]  || ""),
      lote:            String(r[4]  || ""),
      validade:        String(r[5]  || ""),
      diasRestantes:   Number(r[6]) || 0,
      status:          String(r[7]  || ""),
      precisaProduzir: String(r[8]  || ""),
      estoque:         String(r[9]  || ""),
      observacao:      String(r[10] || "")
    });
  }
  return result;
}</t>
  </si>
  <si>
    <t>&lt;div id="page-inventario" class="page"&gt;
  &lt;!-- Header interno --&gt;
  &lt;header class="page-header"&gt;
    &lt;button class="back-btn" id="backFromInventario" aria-label="Voltar para Home"&gt;
      &lt;svg viewBox="0 0 24 24" width="14" height="14" fill="none" stroke="currentColor" stroke-width="2.5" stroke-linecap="round" stroke-linejoin="round"&gt;
        &lt;polyline points="15 18 9 12 15 6"/&gt;
      &lt;/svg&gt;
      Home
    &lt;/button&gt;
    &lt;div&gt;
      &lt;div class="page-title"&gt;Inventário&lt;/div&gt;
      &lt;div class="page-subtitle"&gt;Busca de produtos no estoque&lt;/div&gt;
    &lt;/div&gt;
    &lt;div class="page-header-right"&gt;
      &lt;span class="session-stats" id="sessionStats"&gt;&lt;/span&gt;
      &lt;button class="icon-btn" id="emailReportBtn"
              aria-label="Enviar relatório por e-mail"
              title="Relatório por e-mail"&gt;
        &lt;svg viewBox="0 0 24 24" width="16" height="16" fill="none"
             stroke="currentColor" stroke-width="2"
             stroke-linecap="round" stroke-linejoin="round"&gt;
          &lt;path d="M4 4h16c1.1 0 2 .9 2 2v12c0 1.1-.9 2-2 2H4c-1.1 0-2-.9-2-2V6c0-1.1.9-2 2-2z"/&gt;
          &lt;polyline points="22,6 12,13 2,6"/&gt;
        &lt;/svg&gt;
      &lt;/button&gt;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&lt;div class="main-card"&gt;
      &lt;!-- Busca --&gt;
      &lt;div class="search-area"&gt;
        &lt;div class="search-wrapper"&gt;
          &lt;svg class="search-icon" id="searchIcon" viewBox="0 0 24 24" fill="none" stroke="currentColor" stroke-width="2" stroke-linecap="round" stroke-linejoin="round"&gt;
            &lt;circle cx="11" cy="11" r="7"/&gt;&lt;line x1="21" y1="21" x2="16.65" y2="16.65"/&gt;
          &lt;/svg&gt;
          &lt;span class="ghost-suggestion" id="ghostSuggestion" aria-hidden="true"&gt;&lt;/span&gt;
          &lt;input
            class="search-box" id="searchBox"
            type="search"
            placeholder="Ex: mirra + roll on"
            autocomplete="off" autocorrect="off" spellcheck="false"
            aria-label="Campo de busca"
          &gt;
          &lt;button class="clear-btn" id="clearBtn" aria-label="Limpar busca"&gt;
            &lt;svg viewBox="0 0 24 24" width="12" height="12" fill="none" stroke="currentColor" stroke-width="2.5" stroke-linecap="round"&gt;
              &lt;line x1="18" y1="6" x2="6" y2="18"/&gt;&lt;line x1="6" y1="6" x2="18" y2="18"/&gt;
            &lt;/svg&gt;
          &lt;/button&gt;
        &lt;/div&gt;
        &lt;div class="ghost-hint" id="ghostHint"&gt;&lt;/div&gt;
        &lt;div class="term-pills-wrap" id="termPillsWrap"&gt;
          &lt;div class="term-pills-inner" id="termPills"&gt;&lt;/div&gt;
        &lt;/div&gt;
        &lt;div class="recents-wrap" id="recentsWrap" style="display:none"&gt;
          &lt;div class="recents-header"&gt;
            &lt;span class="recents-label"&gt;Recentes&lt;/span&gt;
            &lt;button class="clear-all-btn" id="clearAllBtn"&gt;Limpar tudo&lt;/button&gt;
          &lt;/div&gt;
          &lt;div class="recents" id="recentsList"&gt;&lt;/div&gt;
        &lt;/div&gt;
      &lt;/div&gt;
      &lt;!-- Resultados --&gt;
      &lt;div class="results-area"&gt;
        &lt;div class="toolbar" id="toolbar"&gt;
          &lt;div class="toolbar-left"&gt;
            &lt;span class="loading" id="loadingIndicator"&gt;
              &lt;span class="spinner"&gt;&lt;/span&gt; Buscando…
            &lt;/span&gt;
            &lt;span class="result-count" id="resultCount"&gt;&lt;/span&gt;
            &lt;span class="resp-time" id="respTime"&gt;&lt;/span&gt;
          &lt;/div&gt;
          &lt;div class="toolbar-right"&gt;
            &lt;select class="toolbar-sort" id="sortSelect"&gt;
              &lt;option value="default"&gt;Padrão&lt;/option&gt;
              &lt;option value="name-az"&gt;Nome A→Z&lt;/option&gt;
              &lt;option value="name-za"&gt;Nome Z→A&lt;/option&gt;
              &lt;option value="box-az"&gt;Caixa A→Z&lt;/option&gt;
            &lt;/select&gt;
            &lt;div class="view-toggles"&gt;
              &lt;button class="view-btn" id="viewList" title="Lista"&gt;
                &lt;svg viewBox="0 0 24 24"&gt;&lt;line x1="8" y1="6" x2="21" y2="6"/&gt;&lt;line x1="8" y1="12" x2="21" y2="12"/&gt;&lt;line x1="8" y1="18" x2="21" y2="18"/&gt;&lt;circle cx="3.5" cy="6" r="1.5" fill="currentColor" stroke="none"/&gt;&lt;circle cx="3.5" cy="12" r="1.5" fill="currentColor" stroke="none"/&gt;&lt;circle cx="3.5" cy="18" r="1.5" fill="currentColor" stroke="none"/&gt;&lt;/svg&gt;
              &lt;/button&gt;
              &lt;button class="view-btn" id="viewGrid" title="Grade"&gt;
                &lt;svg viewBox="0 0 24 24"&gt;&lt;rect x="3" y="3" width="7" height="7" rx="1"/&gt;&lt;rect x="14" y="3" width="7" height="7" rx="1"/&gt;&lt;rect x="3" y="14" width="7" height="7" rx="1"/&gt;&lt;rect x="14" y="14" width="7" height="7" rx="1"/&gt;&lt;/svg&gt;
              &lt;/button&gt;
              &lt;button class="view-btn" id="viewGroup" title="Agrupar por caixa"&gt;
                &lt;svg viewBox="0 0 24 24"&gt;&lt;rect x="3" y="3" width="18" height="5" rx="1"/&gt;&lt;rect x="3" y="10" width="18" height="5" rx="1"/&gt;&lt;rect x="3" y="17" width="18" height="5" rx="1"/&gt;&lt;/svg&gt;
              &lt;/button&gt;
            &lt;/div&gt;
            &lt;button class="small-btn" id="shareBtn" title="Compartilhar URL"&gt;
              &lt;svg viewBox="0 0 24 24"&gt;&lt;circle cx="18" cy="5" r="2"/&gt;&lt;circle cx="6" cy="12" r="2"/&gt;&lt;circle cx="18" cy="19" r="2"/&gt;&lt;line x1="8.59" y1="13.51" x2="15.42" y2="17.49"/&gt;&lt;line x1="15.41" y1="6.51" x2="8.59" y2="10.49"/&gt;&lt;/svg&gt;
              Compartilhar
            &lt;/button&gt;
            &lt;button class="small-btn" id="exportBtn" title="Exportar CSV (Ctrl+E)"&gt;
              &lt;svg viewBox="0 0 24 24"&gt;&lt;path d="M21 15v4a2 2 0 0 1-2 2H5a2 2 0 0 1-2-2v-4"/&gt;&lt;polyline points="7 10 12 15 17 10"/&gt;&lt;line x1="12" y1="15" x2="12" y2="3"/&gt;&lt;/svg&gt;
              CSV
            &lt;/button&gt;
            &lt;button class="small-btn" id="printBtn" title="Imprimir"&gt;
              &lt;svg viewBox="0 0 24 24"&gt;&lt;polyline points="6 9 6 2 18 2 18 9"/&gt;&lt;path d="M6 18H4a2 2 0 0 1-2-2v-5a2 2 0 0 1 2-2h16a2 2 0 0 1 2 2v5a2 2 0 0 1-2 2h-2"/&gt;&lt;rect x="6" y="14" width="12" height="8"/&gt;&lt;/svg&gt;
              Imprimir
            &lt;/button&gt;
          &lt;/div&gt;
        &lt;/div&gt;
        &lt;div id="content"&gt;&lt;/div&gt;
      &lt;/div&gt;
    &lt;/div&gt;
  &lt;/div&gt;
  &lt;!-- Email drawer --&gt;
  &lt;div class="email-overlay" id="emailOverlay"
       role="dialog" aria-modal="true"
       aria-label="Enviar relatório por e-mail"
       style="display:none"&gt;
    &lt;div class="email-drawer"&gt;
      &lt;div class="email-drawer-hdr"&gt;
        &lt;div&gt;
          &lt;div class="email-drawer-title"&gt;Relatório de Inativos&lt;/div&gt;
          &lt;div class="email-drawer-sub"&gt;Lista todos os produtos marcados como inativos&lt;/div&gt;
        &lt;/div&gt;
        &lt;button class="icon-btn email-drawer-close-btn"
                id="emailDrawerClose" aria-label="Fechar"&gt;
          &lt;svg viewBox="0 0 24 24" width="16" height="16" fill="none"
               stroke="currentColor" stroke-width="2.5" stroke-linecap="round"&gt;
            &lt;line x1="18" y1="6" x2="6" y2="18"/&gt;
            &lt;line x1="6" y1="6" x2="18" y2="18"/&gt;
          &lt;/svg&gt;
        &lt;/button&gt;
      &lt;/div&gt;
      &lt;div class="email-drawer-body"&gt;
        &lt;label class="email-field-lbl" for="reportEmailInput"&gt;E-mail de destino&lt;/label&gt;
        &lt;input class="email-field-inp" id="reportEmailInput"
               type="email" placeholder="seu@email.com"
               autocomplete="email"&gt;
      &lt;/div&gt;
      &lt;div class="email-drawer-footer"&gt;
        &lt;button class="email-send-btn" id="emailSendBtn"&gt;
          &lt;svg viewBox="0 0 24 24" width="14" height="14" fill="none"
               stroke="currentColor" stroke-width="2.5"
               stroke-linecap="round" stroke-linejoin="round"&gt;
            &lt;line x1="22" y1="2" x2="11" y2="13"/&gt;
            &lt;polygon points="22 2 15 22 11 13 2 9 22 2"/&gt;
          &lt;/svg&gt;
          Enviar relatório
        &lt;/button&gt;
      &lt;/div&gt;
    &lt;/div&gt;
  &lt;/div&gt;
&lt;/div&gt;</t>
  </si>
  <si>
    <t>&lt;div id="page-home" class="page home-page active"&gt;
  &lt;!-- Perspectiva 3D (modo claro) --&gt;
  &lt;div class="home-persp-grid" aria-hidden="true"&gt;&lt;/div&gt;
  &lt;!-- Partículas de fundo --&gt;
  &lt;canvas id="homeParticles" class="home-particles" aria-hidden="true"&gt;&lt;/canvas&gt;
  &lt;!-- Linha de scan HUD --&gt;
  &lt;div class="home-scan" aria-hidden="true"&gt;&lt;/div&gt;
  &lt;!-- Cantos HUD decorativos --&gt;
  &lt;svg class="hud-corner hud-tl" viewBox="0 0 56 56" width="56" height="56" fill="none" aria-hidden="true"&gt;
    &lt;path d="M3 53 L3 3 L53 3" stroke="rgba(0,230,118,0.45)" stroke-width="1.5" stroke-linecap="round"/&gt;
    &lt;circle cx="3" cy="3" r="3" fill="rgba(0,230,118,0.8)"/&gt;
    &lt;path d="M3 18 L3 3 L18 3" stroke="rgba(0,230,118,0.9)" stroke-width="1" stroke-linecap="round"/&gt;
  &lt;/svg&gt;
  &lt;svg class="hud-corner hud-tr" viewBox="0 0 56 56" width="56" height="56" fill="none" aria-hidden="true"&gt;
    &lt;path d="M3 3 L53 3 L53 53" stroke="rgba(0,230,118,0.45)" stroke-width="1.5" stroke-linecap="round"/&gt;
    &lt;circle cx="53" cy="3" r="3" fill="rgba(0,230,118,0.8)"/&gt;
    &lt;path d="M38 3 L53 3 L53 18" stroke="rgba(0,230,118,0.9)" stroke-width="1" stroke-linecap="round"/&gt;
  &lt;/svg&gt;
  &lt;svg class="hud-corner hud-bl" viewBox="0 0 56 56" width="56" height="56" fill="none" aria-hidden="true"&gt;
    &lt;path d="M3 3 L3 53 L53 53" stroke="rgba(0,230,118,0.45)" stroke-width="1.5" stroke-linecap="round"/&gt;
    &lt;circle cx="3" cy="53" r="3" fill="rgba(0,230,118,0.8)"/&gt;
    &lt;path d="M3 38 L3 53 L18 53" stroke="rgba(0,230,118,0.9)" stroke-width="1" stroke-linecap="round"/&gt;
  &lt;/svg&gt;
  &lt;svg class="hud-corner hud-br" viewBox="0 0 56 56" width="56" height="56" fill="none" aria-hidden="true"&gt;
    &lt;path d="M53 3 L53 53 L3 53" stroke="rgba(0,230,118,0.45)" stroke-width="1.5" stroke-linecap="round"/&gt;
    &lt;circle cx="53" cy="53" r="3" fill="rgba(0,230,118,0.8)"/&gt;
    &lt;path d="M53 38 L53 53 L38 53" stroke="rgba(0,230,118,0.9)" stroke-width="1" stroke-linecap="round"/&gt;
  &lt;/svg&gt;
  &lt;!-- ══ HEADER ══════════════════════════════════════ --&gt;
  &lt;header class="home-header"&gt;
    &lt;div class="home-logo"&gt;
      &lt;div class="home-logo-icon"&gt;
        &lt;svg viewBox="0 0 24 24" width="20" height="20" fill="none" stroke="#fff" stroke-width="1.8" stroke-linecap="round" stroke-linejoin="round" aria-hidden="true"&gt;
          &lt;path d="M12 22V12"/&gt;
          &lt;path d="M12 12C12 12 7 9 6 5C5 1 12 2 12 2C12 2 19 1 18 5C17 9 12 12 12 12Z"/&gt;
        &lt;/svg&gt;
      &lt;/div&gt;
      &lt;div&gt;
        &lt;div class="home-logo-name"&gt;Essência do Brasil&lt;/div&gt;
        &lt;div class="home-logo-tag"&gt;Sistema de Gestão&lt;/div&gt;
      &lt;/div&gt;
    &lt;/div&gt;
    &lt;div class="system-status" aria-label="Status do sistema: online"&gt;
      &lt;div class="system-status-dot"&gt;&lt;/div&gt;
      Sistema Online
    &lt;/div&gt;
    &lt;div class="home-header-actions"&gt;
      &lt;button class="icon-btn theme-btn" id="homeThemeBtn" aria-label="Alternar tema" title="Alternar tema (Ctrl+D)"&gt;
        &lt;svg class="theme-icon" viewBox="0 0 24 24" width="16" height="16" fill="none" stroke="currentColor" stroke-width="2" stroke-linecap="round" stroke-linejoin="round" aria-hidden="true"&gt;
          &lt;path d="M21 12.79A9 9 0 1 1 11.21 3 7 7 0 0 0 21 12.79z"/&gt;
        &lt;/svg&gt;
      &lt;/button&gt;
      &lt;button class="icon-btn shortcuts-btn" aria-label="Atalhos de teclado" title="Atalhos (?)"&gt;
        &lt;svg viewBox="0 0 24 24" width="16" height="16" fill="none" stroke="currentColor" stroke-width="2" stroke-linecap="round" stroke-linejoin="round" aria-hidden="true"&gt;
          &lt;circle cx="12" cy="12" r="9"/&gt;
          &lt;path d="M9.09 9a3 3 0 0 1 5.83 1c0 2-3 3-3 3"/&gt;
          &lt;line x1="12" y1="17" x2="12.01" y2="17"/&gt;
        &lt;/svg&gt;
      &lt;/button&gt;
    &lt;/div&gt;
  &lt;/header&gt;
  &lt;!-- ══ MAIN LAYOUT ═══════════════════════════════ --&gt;
  &lt;main class="home-hero"&gt;
    &lt;div class="home-layout"&gt;
      &lt;!-- ─ Coluna esquerda: texto e módulos ─ --&gt;
      &lt;div class="home-content-col"&gt;
        &lt;div class="home-hero-badge" role="status"&gt;
          &lt;span class="home-hero-badge-dot"&gt;&lt;/span&gt;
          SISTEMA_OPERACIONAL
        &lt;/div&gt;
        &lt;h1 class="home-title"&gt;
          Essência do&lt;br&gt;&lt;span&gt;Brasil&lt;/span&gt;
        &lt;/h1&gt;
        &lt;p class="home-subtitle"&gt;
          Plataforma integrada de gestão e controle de estoque.
          Módulos de inventário, validade e muito mais.
        &lt;/p&gt;
        &lt;div class="hero-stats" role="region" aria-label="Métricas do sistema"&gt;
          &lt;div class="hero-stat"&gt;
            &lt;div class="hero-stat-value"&gt;02&lt;/div&gt;
            &lt;div class="hero-stat-label"&gt;Módulos Ativos&lt;/div&gt;
          &lt;/div&gt;
          &lt;div class="hero-stat-divider" aria-hidden="true"&gt;&lt;/div&gt;
          &lt;div class="hero-stat"&gt;
            &lt;div class="hero-stat-value clock-val" id="heroStatClock"&gt;--:--:--&lt;/div&gt;
            &lt;div class="hero-stat-label"&gt;Horário&lt;/div&gt;
          &lt;/div&gt;
          &lt;div class="hero-stat-divider" aria-hidden="true"&gt;&lt;/div&gt;
          &lt;div class="hero-stat"&gt;
            &lt;div class="hero-stat-value"&gt;v3.1&lt;/div&gt;
            &lt;div class="hero-stat-label"&gt;Versão&lt;/div&gt;
          &lt;/div&gt;
        &lt;/div&gt;
        &lt;div class="home-nav-grid" role="navigation" aria-label="Módulos do sistema"&gt;
          &lt;!-- Módulo 01: Inventário --&gt;
          &lt;div class="nav-card" data-nav="inventario" role="button" tabindex="0" aria-label="Abrir módulo Inventário"&gt;
            &lt;div class="nav-card-scan" aria-hidden="true"&gt;&lt;/div&gt;
            &lt;div class="nav-card-status online" aria-label="Status: online"&gt;
              &lt;div class="nav-card-status-dot"&gt;&lt;/div&gt;
              ONLINE
            &lt;/div&gt;
            &lt;div class="nav-card-num"&gt;MOD_01&lt;/div&gt;
            &lt;div class="nav-card-icon" aria-hidden="true"&gt;
              &lt;svg viewBox="0 0 24 24" width="24" height="24" fill="none" stroke="currentColor" stroke-width="1.8" stroke-linecap="round" stroke-linejoin="round"&gt;
                &lt;path d="M20 7H4a2 2 0 0 0-2 2v6a2 2 0 0 0 2 2h16a2 2 0 0 0 2-2V9a2 2 0 0 0-2-2z"/&gt;
                &lt;path d="M16 7V5a2 2 0 0 0-2-2h-4a2 2 0 0 0-2 2v2"/&gt;
              &lt;/svg&gt;
            &lt;/div&gt;
            &lt;div class="nav-card-label"&gt;Módulo 01&lt;/div&gt;
            &lt;div class="nav-card-title"&gt;Inventário&lt;/div&gt;
            &lt;div class="nav-card-desc"&gt;Busque e localize produtos no estoque com precisão.&lt;/div&gt;
            &lt;div class="nav-card-arrow" aria-hidden="true"&gt;
              &lt;svg viewBox="0 0 24 24" width="14" height="14" fill="none" stroke="currentColor" stroke-width="2.5" stroke-linecap="round" stroke-linejoin="round"&gt;
                &lt;line x1="5" y1="12" x2="19" y2="12"/&gt;
                &lt;polyline points="12 5 19 12 12 19"/&gt;
              &lt;/svg&gt;
            &lt;/div&gt;
          &lt;/div&gt;
          &lt;!-- Módulo 02: Validade --&gt;
          &lt;div class="nav-card" data-nav="validade" role="button" tabindex="0" aria-label="Abrir módulo Validade"&gt;
            &lt;div class="nav-card-scan" aria-hidden="true"&gt;&lt;/div&gt;
            &lt;div class="nav-card-status online" aria-label="Status: online"&gt;
              &lt;div class="nav-card-status-dot"&gt;&lt;/div&gt;
              ONLINE
            &lt;/div&gt;
            &lt;div class="nav-card-num"&gt;MOD_02&lt;/div&gt;
            &lt;div class="nav-card-icon" aria-hidden="true"&gt;
              &lt;svg viewBox="0 0 24 24" width="24" height="24" fill="none" stroke="currentColor" stroke-width="1.8" stroke-linecap="round" stroke-linejoin="round"&gt;
                &lt;rect x="3" y="4" width="18" height="18" rx="2" ry="2"/&gt;
                &lt;line x1="16" y1="2" x2="16" y2="6"/&gt;
                &lt;line x1="8"  y1="2" x2="8"  y2="6"/&gt;
                &lt;line x1="3"  y1="10" x2="21" y2="10"/&gt;
              &lt;/svg&gt;
            &lt;/div&gt;
            &lt;div class="nav-card-label"&gt;Módulo 02&lt;/div&gt;
            &lt;div class="nav-card-title"&gt;Validade&lt;/div&gt;
            &lt;div class="nav-card-desc"&gt;Monitore datas de vencimento com alertas visuais inteligentes.&lt;/div&gt;
            &lt;div class="nav-card-arrow" aria-hidden="true"&gt;
              &lt;svg viewBox="0 0 24 24" width="14" height="14" fill="none" stroke="currentColor" stroke-width="2.5" stroke-linecap="round" stroke-linejoin="round"&gt;
                &lt;line x1="5" y1="12" x2="19" y2="12"/&gt;
                &lt;polyline points="12 5 19 12 12 19"/&gt;
              &lt;/svg&gt;
            &lt;/div&gt;
          &lt;/div&gt;
          &lt;!-- Módulo 03: Em breve --&gt;
          &lt;div class="nav-card disabled" aria-disabled="true" aria-label="Módulo Produção — em breve"&gt;
            &lt;div class="nav-card-scan" aria-hidden="true"&gt;&lt;/div&gt;
            &lt;div class="nav-card-status" aria-label="Status: em breve"&gt;
              &lt;div class="nav-card-status-dot"&gt;&lt;/div&gt;
              EM BREVE
            &lt;/div&gt;
            &lt;div class="nav-card-num"&gt;MOD_03&lt;/div&gt;
            &lt;div class="nav-card-icon" aria-hidden="true"&gt;
              &lt;svg viewBox="0 0 24 24" width="24" height="24" fill="none" stroke="currentColor" stroke-width="1.8" stroke-linecap="round" stroke-linejoin="round"&gt;
                &lt;rect x="2" y="7" width="20" height="14" rx="2"/&gt;
                &lt;path d="M16 21V5a2 2 0 0 0-2-2h-4a2 2 0 0 0-2 2v16"/&gt;
              &lt;/svg&gt;
            &lt;/div&gt;
            &lt;div class="nav-card-label"&gt;Módulo 03 &lt;span class="badge-soon"&gt;EM BREVE&lt;/span&gt;&lt;/div&gt;
            &lt;div class="nav-card-title"&gt;Produção&lt;/div&gt;
            &lt;div class="nav-card-desc"&gt;Controle de lotes, linha de produção e rastreabilidade.&lt;/div&gt;
          &lt;/div&gt;
          &lt;!-- Módulo 04: Em breve --&gt;
          &lt;div class="nav-card disabled" aria-disabled="true" aria-label="Módulo Pedidos — em breve"&gt;
            &lt;div class="nav-card-scan" aria-hidden="true"&gt;&lt;/div&gt;
            &lt;div class="nav-card-status" aria-label="Status: em breve"&gt;
              &lt;div class="nav-card-status-dot"&gt;&lt;/div&gt;
              EM BREVE
            &lt;/div&gt;
            &lt;div class="nav-card-num"&gt;MOD_04&lt;/div&gt;
            &lt;div class="nav-card-icon" aria-hidden="true"&gt;
              &lt;svg viewBox="0 0 24 24" width="24" height="24" fill="none" stroke="currentColor" stroke-width="1.8" stroke-linecap="round" stroke-linejoin="round"&gt;
                &lt;circle cx="9"  cy="21" r="1"/&gt;
                &lt;circle cx="20" cy="21" r="1"/&gt;
                &lt;path d="M1 1h4l2.68 13.39a2 2 0 0 0 2 1.61h9.72a2 2 0 0 0 2-1.61L23 6H6"/&gt;
              &lt;/svg&gt;
            &lt;/div&gt;
            &lt;div class="nav-card-label"&gt;Módulo 04 &lt;span class="badge-soon"&gt;EM BREVE&lt;/span&gt;&lt;/div&gt;
            &lt;div class="nav-card-title"&gt;Pedidos&lt;/div&gt;
            &lt;div class="nav-card-desc"&gt;Gestão completa de pedidos, entregas e clientes.&lt;/div&gt;
          &lt;/div&gt;
        &lt;/div&gt;
      &lt;/div&gt;
      &lt;!-- ─ Coluna direita: lupa 3D ─ --&gt;
      &lt;div class="home-lupa-col" aria-hidden="true"&gt;
        &lt;div class="lupa-scene"&gt;
          &lt;div class="lupa-halo"&gt;&lt;/div&gt;
          &lt;canvas class="lupa-canvas" id="lupaCanvas" width="320" height="320"&gt;&lt;/canvas&gt;
          &lt;div class="lupa-3d" id="lupa3d"&gt;
            &lt;div class="lupa-ring-el"&gt;
              &lt;div class="lupa-lens"&gt;
                &lt;div class="lupa-shine-a"&gt;&lt;/div&gt;
                &lt;div class="lupa-shine-b"&gt;&lt;/div&gt;
                &lt;div class="lupa-grid-lens"&gt;&lt;/div&gt;
              &lt;/div&gt;
            &lt;/div&gt;
            &lt;div class="lupa-handle-el"&gt;&lt;/div&gt;
          &lt;/div&gt;
        &lt;/div&gt;
      &lt;/div&gt;
    &lt;/div&gt;
  &lt;/main&gt;
  &lt;!-- ══ FOOTER ══════════════════════════════════════ --&gt;
  &lt;footer class="home-footer"&gt;
    &lt;span&gt;Essência do Brasil&lt;/span&gt;
    &lt;div class="home-footer-dot" aria-hidden="true"&gt;&lt;/div&gt;
    &lt;span class="home-footer-version"&gt;v3.1&lt;/span&gt;
    &lt;div class="home-footer-dot" aria-hidden="true"&gt;&lt;/div&gt;
    &lt;span id="homeDateTime" aria-live="polite"&gt;&lt;/span&gt;
  &lt;/footer&gt;
&lt;/div&gt;</t>
  </si>
  <si>
    <r>
      <rPr/>
      <t xml:space="preserve">claude &lt; </t>
    </r>
    <r>
      <rPr>
        <color rgb="FF1155CC"/>
        <u/>
      </rPr>
      <t>prompt.md</t>
    </r>
  </si>
  <si>
    <t>&lt;!DOCTYPE html&gt;
&lt;html lang="pt-BR"&gt;
&lt;head&gt;
  &lt;meta charset="UTF-8" /&gt;
  &lt;meta name="viewport" content="width=device-width, initial-scale=1.0" /&gt;
  &lt;title&gt;Busca de Inventário&lt;/title&gt;
  &lt;style&gt;
    :root {
      --bg: #f4f1e8;
      --bg-2: #fbfaf6;
      --panel: rgba(255,255,255,0.84);
      --panel-strong: #ffffff;
      --panel-soft: #f8f6f0;
      --line: #e2e7df;
      --line-strong: #d2dbd0;
      --text: #1f2d22;
      --text-soft: #5f6d63;
      --muted: #7f8c83;
      --primary: #245a37;
      --primary-2: #2f7245;
      --primary-soft: #edf5ef;
      --gold: #b3925d;
      --success-bg: #eef7f1;
      --success-text: #285e3a;
      --shadow-xl: 0 28px 70px rgba(37, 47, 40, 0.10);
      --shadow-lg: 0 14px 30px rgba(37, 47, 40, 0.08);
      --shadow-md: 0 8px 18px rgba(37, 47, 40, 0.06);
      --radius-xl: 28px;
      --radius-lg: 22px;
      --radius-md: 18px;
      --radius-sm: 14px;
      --transition: 0.22s ease;
    }
    * {
      box-sizing: border-box;
    }
    html, body {
      margin: 0;
      padding: 0;
      min-height: 100%;
      font-family: "Segoe UI", Inter, Arial, sans-serif;
      color: var(--text);
      background:
        radial-gradient(circle at top left, rgba(255,255,255,0.95), transparent 28%),
        radial-gradient(circle at top right, rgba(179,146,93,0.07), transparent 18%),
        linear-gradient(180deg, #faf8f2 0%, #f2efe6 100%);
    }
    body {
      padding: 26px;
    }
    .dashboard {
      width: 100%;
      max-width: 1320px;
      margin: 0 auto;
    }
    .shell {
      position: relative;
      overflow: hidden;
      border-radius: var(--radius-xl);
      background: var(--panel);
      border: 1px solid rgba(255,255,255,0.8);
      box-shadow: var(--shadow-xl);
      backdrop-filter: blur(12px);
    }
    .shell::before {
      content: "";
      position: absolute;
      inset: 0;
      background:
        linear-gradient(120deg, rgba(36,90,55,0.025), transparent 28%, transparent 72%, rgba(179,146,93,0.03));
      pointer-events: none;
    }
    .hero {
      position: relative;
      padding: 30px 32px 24px;
      border-bottom: 1px solid rgba(36,90,55,0.08);
      background:
        radial-gradient(circle at 85% 15%, rgba(36,90,55,0.08), transparent 22%),
        linear-gradient(180deg, rgba(255,255,255,0.75), rgba(255,255,255,0.56));
    }
    .eyebrow {
      display: inline-flex;
      align-items: center;
      gap: 10px;
      margin-bottom: 14px;
      font-size: 12px;
      letter-spacing: 0.16em;
      text-transform: uppercase;
      color: var(--primary);
      font-weight: 800;
    }
    .eyebrow-dot {
      width: 8px;
      height: 8px;
      border-radius: 999px;
      background: linear-gradient(135deg, var(--primary), var(--gold));
      box-shadow: 0 0 0 7px rgba(36,90,55,0.08);
    }
    .hero-top {
      display: flex;
      align-items: flex-end;
      justify-content: space-between;
      gap: 18px;
      flex-wrap: wrap;
    }
    .hero-copy h1 {
      margin: 0;
      font-size: clamp(30px, 4vw, 46px);
      line-height: 1.03;
      letter-spacing: -0.035em;
      color: #203324;
    }
    .hero-copy p {
      margin: 12px 0 0;
      max-width: 800px;
      font-size: 15px;
      line-height: 1.7;
      color: var(--text-soft);
    }
    .hero-badge {
      display: inline-flex;
      align-items: center;
      gap: 10px;
      padding: 12px 16px;
      border-radius: 999px;
      background: rgba(255,255,255,0.8);
      border: 1px solid rgba(36,90,55,0.08);
      color: var(--primary);
      font-size: 13px;
      font-weight: 700;
      box-shadow: var(--shadow-md);
      white-space: nowrap;
    }
    .search-wrap {
      padding: 20px 32px 18px;
      border-bottom: 1px solid rgba(36,90,55,0.06);
      background: rgba(255,255,255,0.45);
    }
    .search-bar {
      display: grid;
      grid-template-columns: 1fr auto;
      gap: 14px;
      align-items: stretch;
    }
    .input-wrap {
      position: relative;
    }
    .input-icon {
      position: absolute;
      left: 18px;
      top: 50%;
      transform: translateY(-50%);
      width: 20px;
      height: 20px;
      color: #7e8a81;
      pointer-events: none;
    }
    .search-input {
      width: 100%;
      height: 62px;
      border: 1px solid var(--line);
      border-radius: 18px;
      background: rgba(255,255,255,0.96);
      padding: 0 18px 0 52px;
      font-size: 18px;
      color: var(--text);
      outline: none;
      transition: border-color var(--transition), box-shadow var(--transition), transform var(--transition);
      box-shadow: inset 0 1px 0 rgba(255,255,255,0.85);
    }
    .search-input::placeholder {
      color: #8c968e;
    }
    .search-input:focus {
      border-color: rgba(36,90,55,0.28);
      box-shadow: 0 0 0 5px rgba(36,90,55,0.10);
    }
    .search-btn {
      min-width: 168px;
      height: 62px;
      border: none;
      border-radius: 18px;
      background: linear-gradient(180deg, #2f7a47 0%, #225a35 100%);
      color: #fff;
      font-size: 16px;
      font-weight: 800;
      cursor: pointer;
      transition: transform var(--transition), box-shadow var(--transition), opacity var(--transition);
      box-shadow: 0 16px 28px rgba(36,90,55,0.20);
    }
    .search-btn:hover {
      transform: translateY(-1px);
      box-shadow: 0 20px 34px rgba(36,90,55,0.24);
    }
    .search-btn:disabled {
      opacity: 0.75;
      cursor: wait;
    }
    .chips {
      display: flex;
      flex-wrap: wrap;
      gap: 10px;
      margin-top: 16px;
    }
    .chip {
      border: 1px solid rgba(36,90,55,0.10);
      background: rgba(255,255,255,0.85);
      color: #35543f;
      padding: 9px 14px;
      border-radius: 999px;
      font-size: 14px;
      font-weight: 700;
      cursor: pointer;
      transition: background var(--transition), border-color var(--transition), transform var(--transition);
    }
    .chip:hover {
      background: var(--primary-soft);
      border-color: rgba(36,90,55,0.18);
      transform: translateY(-1px);
    }
    .content {
      padding: 20px 32px 28px;
    }
    .meta {
      display: flex;
      align-items: center;
      justify-content: space-between;
      gap: 12px;
      flex-wrap: wrap;
      margin-bottom: 16px;
    }
    .meta-left {
      display: flex;
      align-items: center;
      gap: 10px;
      flex-wrap: wrap;
    }
    .status-text {
      font-size: 14px;
      color: var(--text-soft);
    }
    .results-count {
      display: none;
      padding: 9px 13px;
      border-radius: 999px;
      background: var(--primary-soft);
      color: var(--primary);
      font-size: 13px;
      font-weight: 800;
      border: 1px solid rgba(36,90,55,0.08);
    }
    .results-count.show {
      display: inline-flex;
      align-items: center;
    }
    .results-list {
      display: flex;
      flex-direction: column;
      gap: 12px;
    }
    .result-row {
      display: grid;
      grid-template-columns: minmax(0, 2.3fr) minmax(260px, 1.1fr) minmax(130px, 0.7fr);
      gap: 18px;
      align-items: center;
      background: linear-gradient(180deg, rgba(255,255,255,0.95), rgba(255,255,255,0.88));
      border: 1px solid rgba(36,90,55,0.08);
      border-radius: 20px;
      padding: 16px 18px;
      box-shadow: var(--shadow-md);
      transition: transform var(--transition), box-shadow var(--transition), border-color var(--transition);
      position: relative;
      overflow: hidden;
    }
    .result-row::before {
      content: "";
      position: absolute;
      left: 0;
      top: 12px;
      bottom: 12px;
      width: 4px;
      border-radius: 999px;
      background: linear-gradient(180deg, var(--primary), var(--gold));
    }
    .result-row:hover {
      transform: translateY(-2px);
      border-color: rgba(36,90,55,0.16);
      box-shadow: var(--shadow-lg);
    }
    .product-col {
      min-width: 0;
      padding-left: 8px;
    }
    .kicker {
      font-size: 11px;
      letter-spacing: 0.13em;
      text-transform: uppercase;
      color: #8a948d;
      font-weight: 800;
      margin-bottom: 7px;
    }
    .product-name {
      font-size: 19px;
      line-height: 1.34;
      font-weight: 800;
      color: #1f3023;
      word-break: break-word;
    }
    .product-sub {
      margin-top: 5px;
      font-size: 14px;
      color: var(--muted);
    }
    .info-box {
      display: flex;
      flex-direction: column;
      gap: 7px;
      min-width: 0;
    }
    .info-label {
      font-size: 11px;
      letter-spacing: 0.12em;
      text-transform: uppercase;
      color: #879088;
      font-weight: 800;
    }
    .location-pill {
      display: inline-flex;
      align-items: center;
      align-self: flex-start;
      max-width: 100%;
      padding: 10px 14px;
      border-radius: 999px;
      background: #f3f7f4;
      color: #284a33;
      border: 1px solid rgba(36,90,55,0.10);
      font-size: 14px;
      font-weight: 800;
      word-break: break-word;
    }
    .status-box {
      display: flex;
      justify-content: flex-end;
    }
    .status-pill {
      display: inline-flex;
      align-items: center;
      justify-content: center;
      min-height: 42px;
      padding: 10px 14px;
      border-radius: 999px;
      background: var(--success-bg);
      border: 1px solid rgba(36,90,55,0.08);
      color: var(--success-text);
      font-size: 14px;
      font-weight: 800;
      text-align: center;
      min-width: 108px;
    }
    .state {
      border: 1px dashed rgba(36,90,55,0.14);
      background: linear-gradient(180deg, rgba(255,255,255,0.92), rgba(248,246,240,0.96));
      border-radius: 24px;
      padding: 42px 24px;
      text-align: center;
      color: var(--text-soft);
    }
    .state-icon {
      width: 68px;
      height: 68px;
      margin: 0 auto 16px;
      border-radius: 20px;
      display: grid;
      place-items: center;
      background: linear-gradient(135deg, rgba(36,90,55,0.10), rgba(179,146,93,0.10));
      color: var(--primary);
      border: 1px solid rgba(36,90,55,0.08);
    }
    .state-title {
      font-size: 24px;
      font-weight: 800;
      color: #203224;
      margin-bottom: 10px;
      letter-spacing: -0.02em;
    }
    .state-desc {
      max-width: 620px;
      margin: 0 auto;
      font-size: 15px;
      line-height: 1.7;
    }
    .empty-note {
      margin-top: 10px;
      font-size: 13px;
      color: #8d958f;
    }
    .loading-row {
      display: flex;
      align-items: center;
      justify-content: center;
      gap: 12px;
      padding: 22px 12px;
      color: var(--text-soft);
      font-size: 15px;
      font-weight: 700;
    }
    .spinner {
      width: 18px;
      height: 18px;
      border-radius: 50%;
      border: 2px solid rgba(36,90,55,0.14);
      border-top-color: var(--primary);
      animation: spin 0.85s linear infinite;
    }
    @keyframes spin {
      to { transform: rotate(360deg); }
    }
    .footer-note {
      margin-top: 16px;
      font-size: 13px;
      color: #8d958f;
      text-align: center;
    }
    @media (max-width: 1100px) {
      .result-row {
        grid-template-columns: minmax(0, 1.8fr) minmax(220px, 1fr);
      }
      .result-row .status-box {
        grid-column: 1 / -1;
        justify-content: flex-start;
      }
    }
    @media (max-width: 760px) {
      body {
        padding: 14px;
      }
      .hero,
      .search-wrap,
      .content {
        padding-left: 16px;
        padding-right: 16px;
      }
      .hero {
        padding-top: 22px;
        padding-bottom: 20px;
      }
      .search-bar {
        grid-template-columns: 1fr;
      }
      .search-input {
        height: 56px;
        font-size: 16px;
        border-radius: 16px;
      }
      .search-btn {
        width: 100%;
        min-width: 0;
        height: 54px;
        border-radius: 16px;
      }
      .chips {
        gap: 8px;
      }
      .chip {
        font-size: 13px;
        padding: 8px 12px;
      }
      .result-row {
        grid-template-columns: 1fr;
        gap: 14px;
        padding: 15px 15px 15px 18px;
        border-radius: 18px;
      }
      .product-name {
        font-size: 17px;
      }
      .location-pill,
      .status-pill {
        font-size: 13px;
      }
      .state {
        padding: 30px 18px;
      }
      .state-title {
        font-size: 21px;
      }
    }
  &lt;/style&gt;
&lt;/head&gt;
&lt;body&gt;
  &lt;main class="dashboard"&gt;
    &lt;section class="shell"&gt;
      &lt;div class="hero"&gt;
        &lt;div class="eyebrow"&gt;
          &lt;span class="eyebrow-dot"&gt;&lt;/span&gt;
          Painel executivo de inventário
        &lt;/div&gt;
        &lt;div class="hero-top"&gt;
          &lt;div class="hero-copy"&gt;
            &lt;h1&gt;Busca de Inventário&lt;/h1&gt;
            &lt;p&gt;
              Consulte rapidamente os produtos disponíveis e visualize a localização exata conforme o cabeçalho original da planilha, em uma interface mais clara, refinada e fácil de ler.
            &lt;/p&gt;
          &lt;/div&gt;
          &lt;div class="hero-badge"&gt;Consulta executiva do estoque&lt;/div&gt;
        &lt;/div&gt;
      &lt;/div&gt;
      &lt;div class="search-wrap"&gt;
        &lt;form class="search-bar" onsubmit="buscar(event)"&gt;
          &lt;div class="input-wrap"&gt;
            &lt;svg class="input-icon" viewBox="0 0 24 24" fill="none" aria-hidden="true"&gt;
              &lt;path d="M21 21L16.65 16.65M18 11C18 14.866 14.866 18 11 18C7.13401 18 4 14.866 4 11C4 7.13401 7.13401 4 11 4C14.866 4 18 7.13401 18 11Z"
                    stroke="currentColor" stroke-width="2" stroke-linecap="round" stroke-linejoin="round"/&gt;
            &lt;/svg&gt;
            &lt;input
              id="termoBusca"
              class="search-input"
              type="text"
              placeholder="Busque por produto... Ex: patchouli + 10ml"
              autocomplete="off"
              oninput="agendarBusca()"
            /&gt;
          &lt;/div&gt;
          &lt;button id="searchBtn" class="search-btn" type="submit"&gt;Buscar&lt;/button&gt;
        &lt;/form&gt;
        &lt;div class="chips"&gt;
          &lt;button class="chip" type="button" onclick="buscarSugestao('mirra')"&gt;mirra&lt;/button&gt;
          &lt;button class="chip" type="button" onclick="buscarSugestao('roll on')"&gt;roll on&lt;/button&gt;
          &lt;button class="chip" type="button" onclick="buscarSugestao('lavanda')"&gt;lavanda&lt;/button&gt;
          &lt;button class="chip" type="button" onclick="buscarSugestao('patchouli')"&gt;patchouli&lt;/button&gt;
          &lt;button class="chip" type="button" onclick="buscarSugestao('alecrim')"&gt;alecrim&lt;/button&gt;
        &lt;/div&gt;
      &lt;/div&gt;
      &lt;div class="content"&gt;
        &lt;div class="meta"&gt;
          &lt;div class="meta-left"&gt;
            &lt;div id="statusText" class="status-text"&gt;Digite um termo para iniciar a busca.&lt;/div&gt;
            &lt;div id="resultsCount" class="results-count"&gt;&lt;/div&gt;
          &lt;/div&gt;
        &lt;/div&gt;
        &lt;div id="resultado"&gt;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A localização será exibida exatamente conforme o cabeçalho recebido da planilha.
            &lt;/p&gt;
            &lt;div class="empty-note"&gt;Exemplo: &lt;strong&gt;patchouli + 10ml&lt;/strong&gt;&lt;/div&gt;
          &lt;/div&gt;
        &lt;/div&gt;
        &lt;div class="footer-note"&gt;Versão clara premium, mais legível no dia a dia e com localização fiel ao cabeçalho da planilha.&lt;/div&gt;
      &lt;/div&gt;
    &lt;/section&gt;
  &lt;/main&gt;
  &lt;script&gt;
    let debounceTimer = null;
    let buscando = false;
    function agendarBusca() {
      clearTimeout(debounceTimer);
      debounceTimer = setTimeout(() =&gt; {
        const termo = document.getElementById("termoBusca").value.trim();
        if (!termo) {
          mostrarEstadoInicial();
          return;
        }
        buscar();
      }, 320);
    }
    function buscarSugestao(valor) {
      const input = document.getElementById("termoBusca");
      input.value = valor;
      input.focus();
      buscar();
    }
    function buscar(event) {
      if (event) event.preventDefault();
      const termo = document.getElementById("termoBusca").value.trim();
      if (!termo) {
        mostrarEstadoInicial();
        return;
      }
      if (buscando) return;
      buscando = true;
      atualizarBotao(true);
      mostrarLoading();
      atualizarStatus("Buscando no inventário...");
      google.script.run
        .withSuccessHandler(function(resultados) {
          buscando = false;
          atualizarBotao(false);
          renderizarResultados(Array.isArray(resultados) ? resultados : [], termo);
        })
        .withFailureHandler(function(erro) {
          buscando = false;
          atualizarBotao(false);
          mostrarErro(erro);
        })
        .buscarProdutosWeb(termo);
    }
    function atualizarBotao(carregando) {
      const btn = document.getElementById("searchBtn");
      btn.disabled = carregando;
      btn.textContent = carregando ? "Buscando..." : "Buscar";
    }
    function atualizarStatus(texto) {
      document.getElementById("statusText").textContent = texto;
    }
    function mostrarLoading() {
      document.getElementById("resultsCount").classList.remove("show");
      document.getElementById("resultado").innerHTML = `
        &lt;div class="loading-row"&gt;
          &lt;span class="spinner"&gt;&lt;/span&gt;
          Consultando produtos disponíveis...
        &lt;/div&gt;
      `;
    }
    function mostrarEstadoInicial() {
      atualizarStatus("Digite um termo para iniciar a busca.");
      document.getElementById("resultsCount").classList.remove("show");
      document.getElementById("resultado").innerHTML = `
        &lt;div class="state"&gt;
          &lt;div class="state-icon"&gt;
            &lt;svg width="28" height="28" viewBox="0 0 24 24" fill="none" aria-hidden="true"&gt;
              &lt;path d="M3 7.5L12 3L21 7.5M3 7.5V16.5L12 21M3 7.5L12 12M21 7.5V16.5L12 21M21 7.5L12 12M12 12V21"
                    stroke="currentColor" stroke-width="1.8" stroke-linecap="round" stroke-linejoin="round"/&gt;
            &lt;/svg&gt;
          &lt;/div&gt;
          &lt;div class="state-title"&gt;Pronto para buscar&lt;/div&gt;
          &lt;p class="state-desc"&gt;
            Pesquise pelo nome do produto para localizar rapidamente no inventário. A localização será exibida exatamente conforme o cabeçalho recebido da planilha.
          &lt;/p&gt;
          &lt;div class="empty-note"&gt;Exemplo: &lt;strong&gt;patchouli + 10ml&lt;/strong&gt;&lt;/div&gt;
        &lt;/div&gt;
      `;
    }
    function renderizarResultados(resultados, termo) {
      const resultsCount = document.getElementById("resultsCount");
      if (!resultados.length) {
        atualizarStatus(`Nenhum resultado encontrado para "${termo}".`);
        resultsCount.classList.remove("show");
        document.getElementById("resultado").innerHTML = `
          &lt;div class="state"&gt;
            &lt;div class="state-icon"&gt;
              &lt;svg width="28" height="28" viewBox="0 0 24 24" fill="none" aria-hidden="true"&gt;
                &lt;path d="M10.5 18C14.6421 18 18 14.6421 18 10.5C18 6.35786 14.6421 3 10.5 3C6.35786 3 3 6.35786 3 10.5C3 14.6421 6.35786 18 10.5 18Z"
                      stroke="currentColor" stroke-width="1.8" stroke-linecap="round" stroke-linejoin="round"/&gt;
                &lt;path d="M21 21L15.8 15.8"
                      stroke="currentColor" stroke-width="1.8" stroke-linecap="round" stroke-linejoin="round"/&gt;
              &lt;/svg&gt;
            &lt;/div&gt;
            &lt;div class="state-title"&gt;Nenhum produto encontrado&lt;/div&gt;
            &lt;p class="state-desc"&gt;
              Tente usar menos palavras ou termos mais amplos. Você também pode combinar palavras com &lt;strong&gt;+&lt;/strong&gt;.
            &lt;/p&gt;
            &lt;div class="empty-note"&gt;Exemplo: &lt;strong&gt;patchouli&lt;/strong&gt; ou &lt;strong&gt;patchouli + 10ml&lt;/strong&gt;&lt;/div&gt;
          &lt;/div&gt;
        `;
        return;
      }
      atualizarStatus(`Busca concluída para "${termo}".`);
      resultsCount.textContent = `${resultados.length} resultado${resultados.length &gt; 1 ? "s" : ""}`;
      resultsCount.classList.add("show");
      const lista = resultados.map(item =&gt; {
        const produto = escapeHtml(item.produto || "Produto sem nome");
        const localizacao = escapeHtml(item.caixa || "-");
        return `
          &lt;article class="result-row"&gt;
            &lt;div class="product-col"&gt;
              &lt;div class="kicker"&gt;Produto encontrado&lt;/div&gt;
              &lt;div class="product-name"&gt;${produto}&lt;/div&gt;
              &lt;div class="product-sub"&gt;Disponível no inventário&lt;/div&gt;
            &lt;/div&gt;
            &lt;div class="info-box"&gt;
              &lt;div class="info-label"&gt;Localização&lt;/div&gt;
              &lt;div class="location-pill"&gt;${localizacao}&lt;/div&gt;
            &lt;/div&gt;
            &lt;div class="status-box"&gt;
              &lt;div class="status-pill"&gt;Disponível&lt;/div&gt;
            &lt;/div&gt;
          &lt;/article&gt;
        `;
      }).join("");
      document.getElementById("resultado").innerHTML = `
        &lt;div class="results-list"&gt;
          ${lista}
        &lt;/div&gt;
      `;
    }
    function mostrarErro(erro) {
      atualizarStatus("Ocorreu um erro ao consultar o inventário.");
      document.getElementById("resultsCount").classList.remove("show");
      const mensagem = erro &amp;&amp; erro.message ? erro.message : "Não foi possível concluir a busca.";
      document.getElementById("resultado").innerHTML = `
        &lt;div class="state"&gt;
          &lt;div class="state-icon"&gt;
            &lt;svg width="28" height="28" viewBox="0 0 24 24" fill="none" aria-hidden="true"&gt;
              &lt;path d="M12 9V13M12 17H12.01M10.29 3.86L1.82 18C1.64539 18.3024 1.55372 18.6456 1.55402 18.995C1.55433 19.3444 1.6466 19.6875 1.82174 19.9896C1.99688 20.2917 2.24867 20.5423 2.55155 20.7161C2.85443 20.8899 3.1979 20.9808 3.547 20.98H20.453C20.8021 20.9808 21.1456 20.8899 21.4485 20.7161C21.7513 20.5423 22.0031 20.2917 22.1783 19.9896C22.3534 19.6875 22.4457 19.3444 22.446 18.995C22.4463 18.6456 22.3546 18.3024 22.18 18L13.71 3.86C13.5342 3.56611 13.2857 3.32291 12.9886 3.15342C12.6915 2.98392 12.3557 2.8938 12.0135 2.8916C11.6714 2.88939 11.3344 2.97519 11.0351 3.14084C10.7359 3.30649 10.4843 3.54647 10.305 3.838L10.29 3.86Z"
                    stroke="currentColor" stroke-width="1.7" stroke-linecap="round" stroke-linejoin="round"/&gt;
            &lt;/svg&gt;
          &lt;/div&gt;
          &lt;div class="state-title"&gt;Erro na consulta&lt;/div&gt;
          &lt;p class="state-desc"&gt;${escapeHtml(mensagem)}&lt;/p&gt;
        &lt;/div&gt;
      `;
    }
    function escapeHtml(text) {
      return String(text)
        .replace(/&amp;/g, "&amp;amp;")
        .replace(/&lt;/g, "&amp;lt;")
        .replace(/&gt;/g, "&amp;gt;")
        .replace(/"/g, "&amp;quot;")
        .replace(/'/g, "&amp;#039;");
    }
  &lt;/script&gt;
&lt;/body&gt;
&lt;/html&gt;</t>
  </si>
  <si>
    <t>&lt;!DOCTYPE html&gt;
&lt;html lang="pt-BR" data-theme="light"&gt;
&lt;head&gt;
  &lt;meta charset="UTF-8"&gt;
  &lt;base target="_top"&gt;
  &lt;style&gt;
    /* ╔══════════════════════════════════════════════════════════════════════════╗
       ║  CSS TOKENS — light / dark                                              ║
       ╚══════════════════════════════════════════════════════════════════════════╝ */
    :root {
      --bg:                  #eef0f3;
      --card:                #ffffff;
      --card-border:         rgba(0,0,0,0.07);
      --text-primary:        #1a1a1a;
      --text-secondary:      #555;
      --text-muted:          #aaa;
      --input-bg:            #f5f6f8;
      --input-border:        #e0e0e0;
      --input-focus-border:  #43a047;
      --input-focus-shadow:  rgba(67,160,71,0.14);
      --item-bg:             #f9fafb;
      --item-border:         #ebebeb;
      --item-hover-border:   #a5d6a7;
      --item-hover-shadow:   rgba(46,125,50,0.12);
      --chip-bg:             #f1f8f1;
      --chip-border:         #c8e6c9;
      --badge-bg:            #f1f8f1;
      --badge-color:         #388e3c;
      --mark-bg:             #fff59d;
      --mark-color:          inherit;
      --scrollbar-thumb:     #c8e6c9;
      --scrollbar-track:     transparent;
      --kbd-bg:              rgba(255,255,255,0.85);
      --kbd-border:          #d0d0d0;
      --toggle-bg:           #ededf0;
      --toggle-color:        #555;
      --divider:             #f0f0f0;
      --shadow-card:         0 2px 4px rgba(0,0,0,0.06),
                             0 8px 28px rgba(0,0,0,0.10),
                             0 32px 72px rgba(0,0,0,0.08);
      --green-deep:          #1b5e20;
      --green-mid:           #2e7d32;
      --green-base:          #43a047;
      --green-light:         #66bb6a;
      --green-pale:          #a5d6a7;
      --state-hint-bg:       #f0f4ff;
      --state-hint-stroke:   #7986cb;
      --state-empty-bg:      #fff8e1;
      --state-empty-stroke:  #ffb300;
      --state-min-bg:        #f5f5f5;
      --state-min-stroke:    #ccc;
      --cube-border:         rgba(67,160,71,0.55);
      --cube-face:           rgba(67,160,71,0.07);
      --hex-stroke:          #2e7d32;
    }
    [data-theme="dark"] {
      --bg:                  #0e1a0f;
      --card:                #162318;
      --card-border:         rgba(255,255,255,0.06);
      --text-primary:        #e8f5e9;
      --text-secondary:      #a5d6a7;
      --text-muted:          #558b5a;
      --input-bg:            #1a2e1c;
      --input-border:        #2d4830;
      --input-focus-border:  #66bb6a;
      --input-focus-shadow:  rgba(102,187,106,0.18);
      --item-bg:             #1a2e1c;
      --item-border:         #2a3d2c;
      --item-hover-border:   #66bb6a;
      --item-hover-shadow:   rgba(102,187,106,0.14);
      --chip-bg:             #1a2e1c;
      --chip-border:         #2d4830;
      --badge-bg:            #1a2e1c;
      --badge-color:         #81c784;
      --mark-bg:             rgba(255,245,0,0.22);
      --mark-color:          #fff59d;
      --scrollbar-thumb:     #2d4830;
      --scrollbar-track:     transparent;
      --kbd-bg:              rgba(255,255,255,0.07);
      --kbd-border:          #3a5a3c;
      --toggle-bg:           #1a2e1c;
      --toggle-color:        #81c784;
      --divider:             #1e3320;
      --shadow-card:         0 2px 4px rgba(0,0,0,0.35),
                             0 8px 28px rgba(0,0,0,0.45),
                             0 32px 72px rgba(0,0,0,0.30);
      --green-deep:          #1b5e20;
      --green-mid:           #2e7d32;
      --green-base:          #43a047;
      --green-light:         #66bb6a;
      --green-pale:          #388e3c;
      --state-hint-bg:       #0f142a;
      --state-hint-stroke:   #9fa8da;
      --state-empty-bg:      #251a00;
      --state-empty-stroke:  #ffc107;
      --state-min-bg:        #1a2e1c;
      --state-min-stroke:    #3a5a3c;
      --cube-border:         rgba(102,187,106,0.50);
      --cube-face:           rgba(102,187,106,0.06);
      --hex-stroke:          #43a047;
    }
    /* ── Reset ─────────────────────────────────────────────────────────────── */
    *, *::before, *::after { box-sizing: border-box; margin: 0; padding: 0; }
    /* ── Scrollbar ──────────────────────────────────────────────────────────── */
    ::-webkit-scrollbar               { width: 6px; height: 6px; }
    ::-webkit-scrollbar-track         { background: var(--scrollbar-track); }
    ::-webkit-scrollbar-thumb         { background: var(--scrollbar-thumb); border-radius: 6px; }
    ::-webkit-scrollbar-thumb:hover   { background: var(--green-pale); }
    *  { scrollbar-width: thin; scrollbar-color: var(--scrollbar-thumb) var(--scrollbar-track); }
    /* ── Body / tela cheia ──────────────────────────────────────────────────── */
    body {
      background: var(--bg);
      font-family: -apple-system, BlinkMacSystemFont, "Segoe UI", Roboto, Arial, sans-serif;
      color: var(--text-primary);
      min-height: 100vh;
      display: flex;
      justify-content: center;
      align-items: flex-start;
      padding: 0 16px 80px;
      position: relative;
      overflow-x: hidden;
      transition: background 0.3s, color 0.3s;
    }
    /* ── Hexágonos flutuantes ───────────────────────────────────────────────── */
    .bg-particles {
      position: fixed; inset: 0;
      pointer-events: none; overflow: hidden; z-index: 0;
    }
    .hex { position: absolute; opacity: 0; animation: floatHex linear infinite; }
    .hex svg { display: block; }
    .hex:nth-child(1)  { left:  3%; animation-duration: 21s; animation-delay:   0s; width: 38px; }
    .hex:nth-child(2)  { left: 11%; animation-duration: 28s; animation-delay:  -5s; width: 22px; }
    .hex:nth-child(3)  { left: 20%; animation-duration: 17s; animation-delay:  -3s; width: 48px; }
    .hex:nth-child(4)  { left: 31%; animation-duration: 32s; animation-delay: -11s; width: 18px; }
    .hex:nth-child(5)  { left: 43%; animation-duration: 23s; animation-delay:  -7s; width: 34px; }
    .hex:nth-child(6)  { left: 55%; animation-duration: 19s; animation-delay:  -2s; width: 26px; }
    .hex:nth-child(7)  { left: 64%; animation-duration: 26s; animation-delay: -14s; width: 44px; }
    .hex:nth-child(8)  { left: 73%; animation-duration: 30s; animation-delay:  -4s; width: 20px; }
    .hex:nth-child(9)  { left: 82%; animation-duration: 22s; animation-delay:  -9s; width: 36px; }
    .hex:nth-child(10) { left: 90%; animation-duration: 27s; animation-delay:  -1s; width: 16px; }
    .hex:nth-child(11) { left:  7%; animation-duration: 35s; animation-delay: -18s; width: 14px; }
    .hex:nth-child(12) { left: 49%; animation-duration: 24s; animation-delay: -20s; width: 30px; }
    .hex:nth-child(13) { left: 96%; animation-duration: 20s; animation-delay: -12s; width: 42px; }
    .hex:nth-child(14) { left: 26%; animation-duration: 33s; animation-delay: -24s; width: 24px; }
    @keyframes floatHex {
      0%   { transform: translateY(110vh) rotate(0deg);   opacity: 0; }
      6%   { opacity: 0.13; }
      88%  { opacity: 0.09; }
      100% { transform: translateY(-14vh) rotate(360deg); opacity: 0; }
    }
    /* ── Container principal (max-width 1120px) ─────────────────────────────── */
    .container {
      width: 100%; max-width: 1120px;
      position: relative; z-index: 1;
      animation: fadeDown 0.44s ease both;
    }
    @keyframes fadeDown {
      from { opacity: 0; transform: translateY(-16px); }
      to   { opacity: 1; transform: translateY(0); }
    }
    /* ── Topbar ─────────────────────────────────────────────────────────────── */
    .topbar {
      display: flex; align-items: center; justify-content: space-between;
      padding: 20px 2px 16px;
      animation: fadeDown 0.44s 0.04s ease both;
    }
    .topbar-left { display: flex; align-items: center; gap: 14px; }
    .header-icon {
      width: 50px; height: 50px;
      background: linear-gradient(135deg, #2e7d32, #43a047);
      border-radius: 14px;
      display: flex; align-items: center; justify-content: center; flex-shrink: 0;
      box-shadow: 0 4px 16px rgba(46,125,50,0.42), 0 1px 4px rgba(46,125,50,0.20);
    }
    .header-icon svg {
      width: 24px; height: 24px;
      fill: none; stroke: #fff;
      stroke-width: 1.8; stroke-linecap: round; stroke-linejoin: round;
    }
    .title {
      font-size: 22px; font-weight: 700;
      color: var(--text-primary); letter-spacing: -0.5px;
      transition: color 0.3s;
    }
    .subtitle { font-size: 12px; color: var(--text-muted); margin-top: 2px; transition: color 0.3s; }
    .kbd {
      display: inline-flex; align-items: center;
      background: var(--kbd-bg); border: 1px solid var(--kbd-border); border-bottom-width: 2px;
      border-radius: 4px; padding: 1px 6px;
      font-size: 11px; font-family: monospace;
      color: var(--text-secondary); line-height: 1.6;
      transition: background 0.3s, border-color 0.3s, color 0.3s;
    }
    .theme-toggle {
      background: var(--toggle-bg); border: none; cursor: pointer;
      color: var(--toggle-color);
      width: 42px; height: 42px; border-radius: 11px;
      display: flex; align-items: center; justify-content: center; flex-shrink: 0;
      transition: background 0.2s, color 0.2s, transform 0.2s;
    }
    .theme-toggle:hover { transform: scale(1.08); }
    .theme-toggle svg {
      width: 20px; height: 20px; fill: none; stroke: currentColor;
      stroke-width: 2; stroke-linecap: round; stroke-linejoin: round;
    }
    /* ── Card ───────────────────────────────────────────────────────────────── */
    .card {
      background: var(--card);
      border-radius: 22px;
      border: 1px solid var(--card-border);
      box-shadow: var(--shadow-card);
      overflow: hidden;
      animation: fadeDown 0.44s 0.09s ease both;
      transition: background 0.3s, border-color 0.3s, box-shadow 0.3s;
    }
    /* ── Hero banner ────────────────────────────────────────────────────────── */
    .hero {
      height: 76px;
      background: linear-gradient(105deg, #1b5e20 0%, #2e7d32 38%, #388e3c 68%, #43a047 100%);
      position: relative; overflow: hidden;
    }
    .hero-pattern {
      position: absolute; inset: 0;
      width: 100%; height: 100%;
      opacity: 0.15;
    }
    .hero-content {
      position: absolute; inset: 0;
      display: flex; align-items: center;
      padding: 0 30px; gap: 13px;
    }
    .hero-content .hero-icon {
      width: 21px; height: 21px;
      stroke: rgba(255,255,255,0.88); fill: none;
      stroke-width: 1.8; stroke-linecap: round; stroke-linejoin: round; flex-shrink: 0;
    }
    .hero-text { color: rgba(255,255,255,0.92); }
    .hero-title { font-size: 15px; font-weight: 700; letter-spacing: -0.2px; }
    .hero-sub   { font-size: 11.5px; opacity: 0.72; margin-top: 1px; }
    /* ── Área de busca ──────────────────────────────────────────────────────── */
    .search-area {
      padding: 24px 28px;
      border-bottom: 1px solid var(--divider);
      transition: border-color 0.3s;
    }
    .search-wrapper { position: relative; }
    .search-icon {
      position: absolute; left: 16px; top: 50%; transform: translateY(-50%);
      width: 19px; height: 19px; pointer-events: none;
      color: var(--text-muted); transition: color 0.3s;
    }
    .search-box {
      width: 100%; height: 56px;
      padding: 0 50px;
      font-size: 16px;
      border-radius: 14px;
      border: 1.5px solid var(--input-border);
      outline: none;
      background: var(--input-bg); color: var(--text-primary);
      transition: border-color 0.22s, box-shadow 0.22s, background 0.22s, color 0.22s;
    }
    .search-box::placeholder { color: var(--text-muted); }
    .search-box:focus {
      background: var(--card);
      border-color: var(--input-focus-border);
      box-shadow: 0 0 0 4px var(--input-focus-shadow);
    }
    .clear-btn {
      position: absolute; right: 14px; top: 50%; transform: translateY(-50%);
      background: var(--input-border); border: none; cursor: pointer;
      color: var(--text-muted);
      width: 26px; height: 26px; border-radius: 50%;
      display: none; align-items: center; justify-content: center;
      transition: background 0.15s, color 0.15s;
    }
    .clear-btn:hover { background: var(--item-hover-border); color: #fff; }
    .clear-btn.visible { display: flex; }
    /* ── Chips buscas recentes ──────────────────────────────────────────────── */
    .recents-wrap { margin-top: 14px; }
    .recents-label {
      font-size: 10px; font-weight: 700; letter-spacing: 0.8px;
      text-transform: uppercase; color: var(--text-muted); margin-bottom: 8px;
      transition: color 0.3s;
    }
    .recents { display: flex; flex-wrap: wrap; gap: 6px; }
    .chip {
      display: inline-flex; align-items: center; gap: 5px;
      background: var(--chip-bg); border: 1px solid var(--chip-border);
      border-radius: 20px; padding: 4px 6px 4px 9px;
      font-size: 12px; color: var(--green-mid); line-height: 1;
      cursor: pointer;
      transition: background 0.15s, border-color 0.15s;
    }
    .chip:hover { background: var(--item-bg); border-color: var(--item-hover-border); }
    .chip-icon  { flex-shrink: 0; opacity: 0.5; display: flex; }
    .chip-text  { max-width: 160px; overflow: hidden; text-overflow: ellipsis; white-space: nowrap; }
    .chip-remove {
      background: none; border: none; cursor: pointer;
      color: var(--chip-border); padding: 0;
      display: flex; align-items: center; justify-content: center;
      border-radius: 50%; width: 18px; height: 18px;
      transition: color 0.15s, background 0.15s; flex-shrink: 0;
    }
    .chip-remove:hover { color: var(--green-mid); background: rgba(46,125,50,0.12); }
    /* ── Área de resultados ─────────────────────────────────────────────────── */
    .results-area { padding: 0 28px 28px; }
    /* ── Status bar ─────────────────────────────────────────────────────────── */
    .status-bar {
      display: flex; align-items: center; justify-content: space-between;
      overflow: hidden;
      max-height: 0; opacity: 0; margin-bottom: 0;
      transition: max-height 0.22s ease, opacity 0.22s ease, margin-bottom 0.22s ease;
    }
    .status-bar.visible {
      max-height: 44px; opacity: 1; margin-bottom: 14px; margin-top: 18px;
    }
    .status-left { display: flex; align-items: center; gap: 10px; }
    .result-count { font-size: 12.5px; color: var(--text-muted); transition: color 0.3s; }
    .result-count strong { color: var(--green-light); font-weight: 600; }
    .loading { display: none; align-items: center; gap: 7px; font-size: 12.5px; color: var(--text-muted); }
    .loading.visible { display: flex; }
    .spinner {
      width: 13px; height: 13px;
      border: 2px solid var(--input-border); border-top-color: var(--green-light);
      border-radius: 50%; animation: spin 0.65s linear infinite; flex-shrink: 0;
    }
    @keyframes spin { to { transform: rotate(360deg); } }
    /* ── Botões de vista (grade / lista) ────────────────────────────────────── */
    .view-toggles { display: flex; gap: 4px; }
    .view-btn {
      background: var(--toggle-bg); border: none; cursor: pointer;
      color: var(--text-muted);
      width: 32px; height: 32px; border-radius: 8px;
      display: flex; align-items: center; justify-content: center;
      transition: background 0.15s, color 0.15s;
    }
    .view-btn svg {
      width: 15px; height: 15px; fill: none; stroke: currentColor;
      stroke-width: 2; stroke-linecap: round; stroke-linejoin: round;
    }
    .view-btn.active { background: var(--green-mid); color: #fff; }
    .view-btn:not(.active):hover { background: var(--item-border); }
    /* ── Grid de resultados ─────────────────────────────────────────────────── */
    .items-list { display: grid; gap: 8px; }
    .items-list.view-grid { grid-template-columns: 1fr; }
    @media (min-width: 520px) {
      .items-list.view-grid { grid-template-columns: 1fr 1fr; }
    }
    .items-list.view-list { grid-template-columns: 1fr; }
    /* ── Item ───────────────────────────────────────────────────────────────── */
    .item {
      padding: 13px 16px;
      border-radius: 13px;
      background: var(--item-bg);
      border: 1.5px solid var(--item-border);
      display: flex; align-items: center; gap: 12px;
      min-width: 0;
      transition: border-color 0.17s, box-shadow 0.17s, transform 0.17s, background 0.3s;
      animation: slideIn 0.26s ease both;
    }
    @keyframes slideIn {
      from { opacity: 0; transform: translateY(10px) scale(0.98); }
      to   { opacity: 1; transform: translateY(0)    scale(1); }
    }
    .item:hover {
      border-color: var(--item-hover-border);
      box-shadow: 0 4px 16px var(--item-hover-shadow);
      transform: translateY(-2px);
    }
    .item-icon {
      width: 38px; height: 38px;
      background: var(--badge-bg); border-radius: 10px;
      display: flex; align-items: center; justify-content: center; flex-shrink: 0;
    }
    .item-icon svg {
      width: 18px; height: 18px;
      stroke: var(--green-mid); fill: none;
      stroke-width: 1.8; stroke-linecap: round; stroke-linejoin: round;
    }
    .item-info { flex: 1; min-width: 0; }
    .produto {
      font-size: 14px; font-weight: 500; color: var(--text-primary);
      white-space: nowrap; overflow: hidden; text-overflow: ellipsis;
      transition: color 0.3s;
    }
    .produto mark {
      background: var(--mark-bg); color: var(--mark-color);
      border-radius: 2px; padding: 0 1px; font-weight: 700;
    }
    .caixa-badge {
      display: inline-flex; align-items: center; gap: 4px;
      background: var(--badge-bg); color: var(--badge-color);
      border-radius: 6px; padding: 3px 8px;
      font-size: 11.5px; font-weight: 500; margin-top: 5px;
      transition: background 0.3s, color 0.3s;
    }
    .caixa-badge svg {
      width: 11px; height: 11px;
      stroke: var(--badge-color); fill: none;
      stroke-width: 2; stroke-linecap: round; stroke-linejoin: round;
    }
    /* ── Estados visuais ────────────────────────────────────────────────────── */
    .state { text-align: center; }
    .state-hint  { padding: 50px 20px 58px; animation: fadeIn 0.3s ease both; }
    .state-empty { padding: 50px 20px 58px; animation: fadeIn 0.3s ease both; }
    .state-min   { padding: 28px 20px 36px; animation: fadeIn 0.3s ease both; }
    @keyframes fadeIn {
      from { opacity: 0; transform: scale(0.96); }
      to   { opacity: 1; transform: scale(1); }
    }
    /* ── Cubo 3D girando (hint) ─────────────────────────────────────────────── */
    .cube-scene {
      width: 54px; height: 54px;
      perspective: 210px;
      margin: 0 auto 22px;
    }
    .cube {
      width: 100%; height: 100%;
      position: relative;
      transform-style: preserve-3d;
      animation: rotateCube 6s linear infinite;
    }
    @keyframes rotateCube {
      0%   { transform: rotateX(10deg)    rotateY(0deg); }
      100% { transform: rotateX(370deg)   rotateY(360deg); }
    }
    .cube-face {
      position: absolute;
      width: 54px; height: 54px;
      border: 2px solid var(--cube-border);
      background: var(--cube-face);
      border-radius: 4px;
    }
    .cube-face--front  { transform: translateZ(27px); }
    .cube-face--back   { transform: rotateY(180deg)  translateZ(27px); }
    .cube-face--left   { transform: rotateY(-90deg)  translateZ(27px); }
    .cube-face--right  { transform: rotateY(90deg)   translateZ(27px); }
    .cube-face--top    { transform: rotateX(90deg)   translateZ(27px); }
    .cube-face--bottom { transform: rotateX(-90deg)  translateZ(27px); }
    .state-icon {
      width: 62px; height: 62px; border-radius: 18px;
      margin: 0 auto 16px;
      display: flex; align-items: center; justify-content: center;
    }
    .state-icon svg {
      fill: none; stroke-width: 1.5; stroke-linecap: round; stroke-linejoin: round;
    }
    .state-empty .state-icon { background: var(--state-empty-bg); }
    .state-empty .state-icon svg { width: 30px; height: 30px; stroke: var(--state-empty-stroke); }
    .state-min .state-icon  { background: var(--state-min-bg); }
    .state-min .state-icon svg  { width: 26px; height: 26px; stroke: var(--state-min-stroke); }
    .state-title {
      font-size: 15px; font-weight: 600; color: var(--text-muted); margin-bottom: 5px;
      transition: color 0.3s;
    }
    .state-sub {
      font-size: 12.5px; color: var(--text-muted); line-height: 1.6; opacity: 0.75;
      transition: color 0.3s;
    }
    /* ── Erro ───────────────────────────────────────────────────────────────── */
    .error {
      margin-top: 20px; padding: 14px 16px;
      background: rgba(198,40,40,0.07); border: 1.5px solid rgba(198,40,40,0.25);
      border-radius: 12px; color: #ef5350;
      font-size: 13.5px; line-height: 1.4;
      display: flex; align-items: flex-start; gap: 10px;
    }
    .error-icon { flex-shrink: 0; margin-top: 1px; }
    .error-icon svg {
      width: 18px; height: 18px; stroke: #ef5350; fill: none;
      stroke-width: 2; stroke-linecap: round; stroke-linejoin: round;
    }
    /* ── Responsive ─────────────────────────────────────────────────────────── */
    @media (max-width: 460px) {
      .hero-sub { display: none; }
      .search-area { padding: 18px 20px; }
      .results-area { padding: 0 20px 20px; }
    }
  &lt;/style&gt;
&lt;/head&gt;
&lt;body&gt;
  &lt;!-- Hexágonos flutuantes no fundo --&gt;
  &lt;div class="bg-particles" aria-hidden="true"&gt;
    &lt;div class="hex"&gt;&lt;svg viewBox="0 0 100 115" xmlns="http://www.w3.org/2000/svg"&gt;&lt;polygon points="50,2 95,27 95,88 50,113 5,88 5,27" fill="none" stroke="var(--hex-stroke)" stroke-width="5"/&gt;&lt;/svg&gt;&lt;/div&gt;
    &lt;div class="hex"&gt;&lt;svg viewBox="0 0 100 115" xmlns="http://www.w3.org/2000/svg"&gt;&lt;polygon points="50,2 95,27 95,88 50,113 5,88 5,27" fill="none" stroke="var(--hex-stroke)" stroke-width="4"/&gt;&lt;/svg&gt;&lt;/div&gt;
    &lt;div class="hex"&gt;&lt;svg viewBox="0 0 100 115" xmlns="http://www.w3.org/2000/svg"&gt;&lt;polygon points="50,2 95,27 95,88 50,113 5,88 5,27" fill="var(--hex-stroke)" stroke="none" opacity="0.35"/&gt;&lt;/svg&gt;&lt;/div&gt;
    &lt;div class="hex"&gt;&lt;svg viewBox="0 0 100 115" xmlns="http://www.w3.org/2000/svg"&gt;&lt;polygon points="50,2 95,27 95,88 50,113 5,88 5,27" fill="none" stroke="var(--green-base)" stroke-width="5"/&gt;&lt;/svg&gt;&lt;/div&gt;
    &lt;div class="hex"&gt;&lt;svg viewBox="0 0 100 115" xmlns="http://www.w3.org/2000/svg"&gt;&lt;polygon points="50,2 95,27 95,88 50,113 5,88 5,27" fill="none" stroke="var(--hex-stroke)" stroke-width="3"/&gt;&lt;/svg&gt;&lt;/div&gt;
    &lt;div class="hex"&gt;&lt;svg viewBox="0 0 100 115" xmlns="http://www.w3.org/2000/svg"&gt;&lt;polygon points="50,2 95,27 95,88 50,113 5,88 5,27" fill="var(--green-base)" stroke="none" opacity="0.28"/&gt;&lt;/svg&gt;&lt;/div&gt;
    &lt;div class="hex"&gt;&lt;svg viewBox="0 0 100 115" xmlns="http://www.w3.org/2000/svg"&gt;&lt;polygon points="50,2 95,27 95,88 50,113 5,88 5,27" fill="none" stroke="var(--green-light)" stroke-width="5"/&gt;&lt;/svg&gt;&lt;/div&gt;
    &lt;div class="hex"&gt;&lt;svg viewBox="0 0 100 115" xmlns="http://www.w3.org/2000/svg"&gt;&lt;polygon points="50,2 95,27 95,88 50,113 5,88 5,27" fill="none" stroke="var(--hex-stroke)" stroke-width="4"/&gt;&lt;/svg&gt;&lt;/div&gt;
    &lt;div class="hex"&gt;&lt;svg viewBox="0 0 100 115" xmlns="http://www.w3.org/2000/svg"&gt;&lt;polygon points="50,2 95,27 95,88 50,113 5,88 5,27" fill="var(--hex-stroke)" stroke="none" opacity="0.22"/&gt;&lt;/svg&gt;&lt;/div&gt;
    &lt;div class="hex"&gt;&lt;svg viewBox="0 0 100 115" xmlns="http://www.w3.org/2000/svg"&gt;&lt;polygon points="50,2 95,27 95,88 50,113 5,88 5,27" fill="none" stroke="var(--green-base)" stroke-width="4"/&gt;&lt;/svg&gt;&lt;/div&gt;
    &lt;div class="hex"&gt;&lt;svg viewBox="0 0 100 115" xmlns="http://www.w3.org/2000/svg"&gt;&lt;polygon points="50,2 95,27 95,88 50,113 5,88 5,27" fill="none" stroke="var(--green-light)" stroke-width="3"/&gt;&lt;/svg&gt;&lt;/div&gt;
    &lt;div class="hex"&gt;&lt;svg viewBox="0 0 100 115" xmlns="http://www.w3.org/2000/svg"&gt;&lt;polygon points="50,2 95,27 95,88 50,113 5,88 5,27" fill="none" stroke="var(--hex-stroke)" stroke-width="5"/&gt;&lt;/svg&gt;&lt;/div&gt;
    &lt;div class="hex"&gt;&lt;svg viewBox="0 0 100 115" xmlns="http://www.w3.org/2000/svg"&gt;&lt;polygon points="50,2 95,27 95,88 50,113 5,88 5,27" fill="var(--green-light)" stroke="none" opacity="0.20"/&gt;&lt;/svg&gt;&lt;/div&gt;
    &lt;div class="hex"&gt;&lt;svg viewBox="0 0 100 115" xmlns="http://www.w3.org/2000/svg"&gt;&lt;polygon points="50,2 95,27 95,88 50,113 5,88 5,27" fill="none" stroke="var(--green-base)" stroke-width="6"/&gt;&lt;/svg&gt;&lt;/div&gt;
  &lt;/div&gt;
  &lt;div class="container"&gt;
    &lt;!-- Topbar --&gt;
    &lt;div class="topbar"&gt;
      &lt;div class="topbar-left"&gt;
        &lt;div class="header-icon"&gt;
          &lt;svg viewBox="0 0 24 24"&gt;
            &lt;rect x="2" y="7" width="20" height="14" rx="2"/&gt;
            &lt;path d="M16 7V5a2 2 0 0 0-2-2h-4a2 2 0 0 0-2 2v2"/&gt;
            &lt;line x1="12" y1="12" x2="12" y2="16"/&gt;
            &lt;line x1="10" y1="14" x2="14" y2="14"/&gt;
          &lt;/svg&gt;
        &lt;/div&gt;
        &lt;div&gt;
          &lt;div class="title"&gt;Busca de Inventário&lt;/div&gt;
          &lt;div class="subtitle"&gt;
            &lt;span class="kbd"&gt;+&lt;/span&gt; combinar termos
            &amp;nbsp;·&amp;nbsp;&lt;span class="kbd"&gt;/&lt;/span&gt; focar
            &amp;nbsp;·&amp;nbsp; mín. 2 caracteres
          &lt;/div&gt;
        &lt;/div&gt;
      &lt;/div&gt;
      &lt;button class="theme-toggle" id="themeToggle" aria-label="Alternar tema"&gt;&lt;/button&gt;
    &lt;/div&gt;
    &lt;!-- Card --&gt;
    &lt;div class="card"&gt;
      &lt;!-- Hero banner com padrão SVG de hexágonos --&gt;
      &lt;div class="hero"&gt;
        &lt;svg class="hero-pattern" viewBox="0 0 1120 76" preserveAspectRatio="xMidYMid slice" xmlns="http://www.w3.org/2000/svg"&gt;
          &lt;defs&gt;
            &lt;pattern id="herogeo" x="0" y="0" width="60" height="69" patternUnits="userSpaceOnUse"&gt;
              &lt;polygon points="30,2 56,16 56,53 30,67 4,53 4,16" fill="none" stroke="#fff" stroke-width="1.3"/&gt;
              &lt;line x1="30" y1="2"  x2="30" y2="67" stroke="#fff" stroke-width="0.5"/&gt;
              &lt;line x1="4"  y1="34" x2="56" y2="34" stroke="#fff" stroke-width="0.5"/&gt;
              &lt;polygon points="30,10 50,34 30,58 10,34" fill="none" stroke="#fff" stroke-width="0.7"/&gt;
            &lt;/pattern&gt;
          &lt;/defs&gt;
          &lt;rect width="1120" height="76" fill="url(#herogeo)"/&gt;
        &lt;/svg&gt;
        &lt;div class="hero-content"&gt;
          &lt;svg class="hero-icon" viewBox="0 0 24 24"&gt;
            &lt;circle cx="11" cy="11" r="8"/&gt;
            &lt;line x1="21" y1="21" x2="16.65" y2="16.65"/&gt;
          &lt;/svg&gt;
          &lt;div class="hero-text"&gt;
            &lt;div class="hero-title"&gt;Busca de Inventário&lt;/div&gt;
            &lt;div class="hero-sub"&gt;Localize produtos por nome, código ou combinação de termos&lt;/div&gt;
          &lt;/div&gt;
        &lt;/div&gt;
      &lt;/div&gt;
      &lt;!-- Área de busca --&gt;
      &lt;div class="search-area"&gt;
        &lt;div class="search-wrapper"&gt;
          &lt;svg class="search-icon" viewBox="0 0 24 24" fill="none" stroke="currentColor"
               stroke-width="2" stroke-linecap="round" stroke-linejoin="round"&gt;
            &lt;circle cx="11" cy="11" r="8"/&gt;
            &lt;line x1="21" y1="21" x2="16.65" y2="16.65"/&gt;
          &lt;/svg&gt;
          &lt;input
            id="search"
            class="search-box"
            type="text"
            placeholder="Ex: mirra + roll on"
            autocomplete="off"
            spellcheck="false"
            autofocus
          &gt;
          &lt;button class="clear-btn" id="clearBtn" title="Limpar" aria-label="Limpar busca"&gt;
            &lt;svg width="10" height="10" viewBox="0 0 24 24" fill="none" stroke="currentColor"
                 stroke-width="3" stroke-linecap="round"&gt;
              &lt;line x1="18" y1="6" x2="6" y2="18"/&gt;
              &lt;line x1="6" y1="6" x2="18" y2="18"/&gt;
            &lt;/svg&gt;
          &lt;/button&gt;
        &lt;/div&gt;
        &lt;div id="recentsWrap" style="display:none"&gt;
          &lt;div class="recents-wrap"&gt;
            &lt;div class="recents-label"&gt;Buscas recentes&lt;/div&gt;
            &lt;div class="recents" id="recents"&gt;&lt;/div&gt;
          &lt;/div&gt;
        &lt;/div&gt;
      &lt;/div&gt;
      &lt;!-- Área de resultados --&gt;
      &lt;div class="results-area"&gt;
        &lt;div class="status-bar" id="statusBar"&gt;
          &lt;div class="status-left"&gt;
            &lt;div class="result-count" id="resultCount"&gt;&lt;/div&gt;
            &lt;div class="loading" id="loading"&gt;
              &lt;div class="spinner"&gt;&lt;/div&gt;
              Buscando…
            &lt;/div&gt;
          &lt;/div&gt;
          &lt;div class="view-toggles"&gt;
            &lt;button class="view-btn" id="btnGrid" title="Vista em grade" aria-label="Grade"&gt;
              &lt;svg viewBox="0 0 24 24"&gt;
                &lt;rect x="3" y="3" width="7" height="7" rx="1"/&gt;
                &lt;rect x="14" y="3" width="7" height="7" rx="1"/&gt;
                &lt;rect x="3" y="14" width="7" height="7" rx="1"/&gt;
                &lt;rect x="14" y="14" width="7" height="7" rx="1"/&gt;
              &lt;/svg&gt;
            &lt;/button&gt;
            &lt;button class="view-btn" id="btnList" title="Vista em lista" aria-label="Lista"&gt;
              &lt;svg viewBox="0 0 24 24"&gt;
                &lt;line x1="8" y1="6"  x2="21" y2="6"/&gt;
                &lt;line x1="8" y1="12" x2="21" y2="12"/&gt;
                &lt;line x1="8" y1="18" x2="21" y2="18"/&gt;
                &lt;line x1="3" y1="6"  x2="3.01" y2="6"/&gt;
                &lt;line x1="3" y1="12" x2="3.01" y2="12"/&gt;
                &lt;line x1="3" y1="18" x2="3.01" y2="18"/&gt;
              &lt;/svg&gt;
            &lt;/button&gt;
          &lt;/div&gt;
        &lt;/div&gt;
        &lt;div id="results"&gt;&lt;/div&gt;
      &lt;/div&gt;
    &lt;/div&gt;
  &lt;/div&gt;
  &lt;script&gt;
    /* ──────────────────────────────────────────────────────────────────────────
       TEMA (dark / light)
    ────────────────────────────────────────────────────────────────────────── */
    var currentTheme = localStorage.getItem("inv_theme") || "light";
    applyTheme(currentTheme);
    document.getElementById("themeToggle").addEventListener("click", function () {
      currentTheme = currentTheme === "light" ? "dark" : "light";
      localStorage.setItem("inv_theme", currentTheme);
      applyTheme(currentTheme);
    });
    function applyTheme(t) {
      document.documentElement.setAttribute("data-theme", t);
      var btn = document.getElementById("themeToggle");
      if (t === "dark") {
        btn.innerHTML =
          '&lt;svg viewBox="0 0 24 24" fill="none" stroke="currentColor" stroke-width="2" stroke-linecap="round" stroke-linejoin="round"&gt;' +
            '&lt;circle cx="12" cy="12" r="5"/&gt;' +
            '&lt;line x1="12" y1="1"  x2="12" y2="3"/&gt;' +
            '&lt;line x1="12" y1="21" x2="12" y2="23"/&gt;' +
            '&lt;line x1="4.22" y1="4.22"  x2="5.64" y2="5.64"/&gt;' +
            '&lt;line x1="18.36" y1="18.36" x2="19.78" y2="19.78"/&gt;' +
            '&lt;line x1="1"  y1="12" x2="3"  y2="12"/&gt;' +
            '&lt;line x1="21" y1="12" x2="23" y2="12"/&gt;' +
            '&lt;line x1="4.22" y1="19.78" x2="5.64" y2="18.36"/&gt;' +
            '&lt;line x1="18.36" y1="5.64" x2="19.78" y2="4.22"/&gt;' +
          '&lt;/svg&gt;';
        btn.title = "Modo claro";
      } else {
        btn.innerHTML =
          '&lt;svg viewBox="0 0 24 24" fill="none" stroke="currentColor" stroke-width="2" stroke-linecap="round" stroke-linejoin="round"&gt;' +
            '&lt;path d="M21 12.79A9 9 0 1 1 11.21 3 7 7 0 0 0 21 12.79z"/&gt;' +
          '&lt;/svg&gt;';
        btn.title = "Modo escuro";
      }
    }
    /* ──────────────────────────────────────────────────────────────────────────
       VISTA (grade / lista)
    ────────────────────────────────────────────────────────────────────────── */
    var currentView = localStorage.getItem("inv_view") || "grid";
    applyView(currentView);
    document.getElementById("btnGrid").addEventListener("click", function () { applyView("grid"); });
    document.getElementById("btnList").addEventListener("click", function () { applyView("list"); });
    function applyView(v) {
      currentView = v;
      localStorage.setItem("inv_view", v);
      document.getElementById("btnGrid").classList.toggle("active", v === "grid");
      document.getElementById("btnList").classList.toggle("active", v === "list");
      var list = document.querySelector(".items-list");
      if (list) {
        list.classList.remove("view-grid", "view-list");
        list.classList.add("view-" + v);
      }
    }
    /* ──────────────────────────────────────────────────────────────────────────
       VARIÁVEIS
    ────────────────────────────────────────────────────────────────────────── */
    var RECENTS_KEY  = "inv_recents";
    var MAX_RECENTS  = 6;
    var debounceTimer = null;
    var searchInput = document.getElementById("search");
    var clearBtn    = document.getElementById("clearBtn");
    var resultsEl   = document.getElementById("results");
    var loadingEl   = document.getElementById("loading");
    var countEl     = document.getElementById("resultCount");
    var statusBar   = document.getElementById("statusBar");
    var recentsEl   = document.getElementById("recents");
    var recentsWrap = document.getElementById("recentsWrap");
    /* ──────────────────────────────────────────────────────────────────────────
       ATALHOS DE TECLADO
    ────────────────────────────────────────────────────────────────────────── */
    document.addEventListener("keydown", function (e) {
      if (e.key === "/" &amp;&amp; document.activeElement !== searchInput) {
        e.preventDefault();
        searchInput.focus();
        searchInput.select();
      }
      if (e.key === "Escape" &amp;&amp; document.activeElement === searchInput) {
        searchInput.blur();
      }
    });
    /* ──────────────────────────────────────────────────────────────────────────
       EVENTOS DO CAMPO
    ────────────────────────────────────────────────────────────────────────── */
    searchInput.addEventListener("input", onInput);
    clearBtn.addEventListener("click", clearSearch);
    function onInput() {
      var termo = searchInput.value;
      clearBtn.classList.toggle("visible", termo.length &gt; 0);
      clearTimeout(debounceTimer);
      if (!termo.trim())           { showHint();     return; }
      if (termo.trim().length &lt; 2) { showMinChars(); return; }
      debounceTimer = setTimeout(function () { buscar(termo); }, 300);
    }
    function clearSearch() {
      searchInput.value = "";
      clearBtn.classList.remove("visible");
      showHint();
      searchInput.focus();
    }
    /* ──────────────────────────────────────────────────────────────────────────
       STATUS BAR
    ────────────────────────────────────────────────────────────────────────── */
    function showStatusBar() { statusBar.classList.add("visible"); }
    function hideStatusBar() {
      statusBar.classList.remove("visible");
      countEl.innerHTML = "";
    }
    /* ──────────────────────────────────────────────────────────────────────────
       BUSCAS RECENTES
    ────────────────────────────────────────────────────────────────────────── */
    function getRecents() {
      try { return JSON.parse(localStorage.getItem(RECENTS_KEY)) || []; }
      catch (e) { return []; }
    }
    function saveRecent(termo) {
      var t = termo.trim();
      if (!t || t.length &lt; 2) return;
      var recents = getRecents().filter(function (r) { return r !== t; });
      recents.unshift(t);
      recents = recents.slice(0, MAX_RECENTS);
      localStorage.setItem(RECENTS_KEY, JSON.stringify(recents));
      renderRecents();
    }
    function removeRecent(termo) {
      var recents = getRecents().filter(function (r) { return r !== termo; });
      localStorage.setItem(RECENTS_KEY, JSON.stringify(recents));
      renderRecents();
    }
    function renderRecents() {
      var recents = getRecents();
      recentsEl.innerHTML = "";
      if (!recents.length) { recentsWrap.style.display = "none"; return; }
      recentsWrap.style.display = "block";
      recents.forEach(function (r) {
        var chip = document.createElement("button");
        chip.className = "chip";
        chip.type = "button";
        var iconEl = document.createElement("span");
        iconEl.className = "chip-icon";
        iconEl.innerHTML =
          '&lt;svg width="11" height="11" viewBox="0 0 24 24" fill="none" stroke="currentColor" ' +
              'stroke-width="2" stroke-linecap="round" stroke-linejoin="round"&gt;' +
            '&lt;circle cx="12" cy="12" r="10"/&gt;&lt;polyline points="12 6 12 12 16 14"/&gt;' +
          '&lt;/svg&gt;';
        var textEl = document.createElement("span");
        textEl.className = "chip-text";
        textEl.textContent = r;
        var removeBtn = document.createElement("button");
        removeBtn.className = "chip-remove";
        removeBtn.type = "button";
        removeBtn.setAttribute("aria-label", "Remover busca");
        removeBtn.innerHTML =
          '&lt;svg width="8" height="8" viewBox="0 0 24 24" fill="none" stroke="currentColor" ' +
              'stroke-width="3.5" stroke-linecap="round"&gt;' +
            '&lt;line x1="18" y1="6" x2="6" y2="18"/&gt;&lt;line x1="6" y1="6" x2="18" y2="18"/&gt;' +
          '&lt;/svg&gt;';
        removeBtn.addEventListener("click", function (e) {
          e.stopPropagation();
          removeRecent(r);
        });
        chip.addEventListener("click", function () {
          searchInput.value = r;
          clearBtn.classList.add("visible");
          buscar(r);
        });
        chip.appendChild(iconEl);
        chip.appendChild(textEl);
        chip.appendChild(removeBtn);
        recentsEl.appendChild(chip);
      });
    }
    /* ──────────────────────────────────────────────────────────────────────────
       CHAMADA À API
    ────────────────────────────────────────────────────────────────────────── */
    function buscar(termo) {
      setLoading(true);
      showStatusBar();
      resultsEl.innerHTML = "";
      google.script.run
        .withSuccessHandler(function (data) { render(data, termo); })
        .withFailureHandler(onError)
        .buscarProdutosWeb(termo);
    }
    /* ──────────────────────────────────────────────────────────────────────────
       RENDERIZAÇÃO
    ────────────────────────────────────────────────────────────────────────── */
    function render(data, termo) {
      setLoading(false);
      resultsEl.innerHTML = "";
      if (!data || data.length === 0) {
        hideStatusBar();
        resultsEl.appendChild(buildState("empty"));
        return;
      }
      saveRecent(termo);
      var total = data.length;
      countEl.innerHTML =
        "&lt;strong&gt;" + total + "&lt;/strong&gt; produto" + (total !== 1 ? "s" : "") +
        " encontrado" + (total !== 1 ? "s" : "");
      showStatusBar();
      var palavras = termo.toLowerCase()
        .split("+").map(function (p) { return p.trim(); }).filter(Boolean);
      var list = document.createElement("div");
      list.className = "items-list view-" + currentView;
      var fragment = document.createDocumentFragment();
      data.forEach(function (item, i) {
        var div = document.createElement("div");
        div.className = "item";
        div.style.animationDelay = (i * 38) + "ms";
        var iconWrap = document.createElement("div");
        iconWrap.className = "item-icon";
        iconWrap.innerHTML =
          '&lt;svg viewBox="0 0 24 24"&gt;' +
            '&lt;path d="M21 16V8a2 2 0 0 0-1-1.73l-7-4a2 2 0 0 0-2 0l-7 4A2 2 0 0 0 3 8v8' +
                    'a2 2 0 0 0 1 1.73l7 4a2 2 0 0 0 2 0l7-4A2 2 0 0 0 21 16z"/&gt;' +
            '&lt;polyline points="3.27 6.96 12 12.01 20.73 6.96"/&gt;' +
            '&lt;line x1="12" y1="22.08" x2="12" y2="12"/&gt;' +
          '&lt;/svg&gt;';
        var info = document.createElement("div");
        info.className = "item-info";
        var nome = document.createElement("div");
        nome.className = "produto";
        nome.innerHTML = highlight(item.produto, palavras);
        var badge = document.createElement("div");
        badge.className = "caixa-badge";
        badge.innerHTML =
          '&lt;svg viewBox="0 0 24 24"&gt;' +
            '&lt;rect x="1" y="3" width="15" height="13"/&gt;' +
            '&lt;polygon points="16 8 20 8 23 11 23 16 16 16 16 8"/&gt;' +
            '&lt;circle cx="5.5" cy="18.5" r="2.5"/&gt;' +
            '&lt;circle cx="18.5" cy="18.5" r="2.5"/&gt;' +
          '&lt;/svg&gt;';
        badge.appendChild(document.createTextNode(item.caixa));
        info.appendChild(nome);
        info.appendChild(badge);
        div.appendChild(iconWrap);
        div.appendChild(info);
        fragment.appendChild(div);
      });
      list.appendChild(fragment);
      resultsEl.appendChild(list);
    }
    /* ──────────────────────────────────────────────────────────────────────────
       HIGHLIGHT
    ────────────────────────────────────────────────────────────────────────── */
    function highlight(text, palavras) {
      var safe = text
        .replace(/&amp;/g, "&amp;amp;")
        .replace(/&lt;/g, "&amp;lt;")
        .replace(/&gt;/g, "&amp;gt;");
      palavras.forEach(function (p) {
        if (!p) return;
        var re = new RegExp(p.replace(/[.*+?^${}()|[\]\\]/g, "\\$&amp;"), "gi");
        safe = safe.replace(re, function (m) { return "&lt;mark&gt;" + m + "&lt;/mark&gt;"; });
      });
      return safe;
    }
    /* ──────────────────────────────────────────────────────────────────────────
       ERRO
    ────────────────────────────────────────────────────────────────────────── */
    function onError(err) {
      setLoading(false);
      hideStatusBar();
      resultsEl.innerHTML = "";
      var errDiv = document.createElement("div");
      errDiv.className = "error";
      var iconWrap = document.createElement("div");
      iconWrap.className = "error-icon";
      iconWrap.innerHTML =
        '&lt;svg viewBox="0 0 24 24"&gt;' +
          '&lt;path d="M10.29 3.86L1.82 18a2 2 0 0 0 1.71 3h16.94a2 2 0 0 0 1.71-3' +
                  'L13.71 3.86a2 2 0 0 0-3.42 0z"/&gt;' +
          '&lt;line x1="12" y1="9" x2="12" y2="13"/&gt;' +
          '&lt;line x1="12" y1="17" x2="12.01" y2="17"/&gt;' +
        '&lt;/svg&gt;';
      var msg = document.createElement("span");
      msg.textContent = "Erro ao buscar. Verifique sua conexão e tente novamente.";
      errDiv.appendChild(iconWrap);
      errDiv.appendChild(msg);
      resultsEl.appendChild(errDiv);
    }
    /* ──────────────────────────────────────────────────────────────────────────
       AUXILIARES
    ────────────────────────────────────────────────────────────────────────── */
    function setLoading(on) { loadingEl.classList.toggle("visible", on); }
    function showHint() {
      hideStatusBar();
      resultsEl.innerHTML = "";
      resultsEl.appendChild(buildState("hint"));
    }
    function showMinChars() {
      hideStatusBar();
      resultsEl.innerHTML = "";
      resultsEl.appendChild(buildState("min"));
    }
    function buildState(type) {
      var wrap = document.createElement("div");
      wrap.className = "state";
      if (type === "hint") {
        wrap.classList.add("state-hint");
        wrap.innerHTML =
          /* Cubo 3D girando */
          '&lt;div class="cube-scene"&gt;' +
            '&lt;div class="cube"&gt;' +
              '&lt;div class="cube-face cube-face--front"&gt;&lt;/div&gt;' +
              '&lt;div class="cube-face cube-face--back"&gt;&lt;/div&gt;' +
              '&lt;div class="cube-face cube-face--left"&gt;&lt;/div&gt;' +
              '&lt;div class="cube-face cube-face--right"&gt;&lt;/div&gt;' +
              '&lt;div class="cube-face cube-face--top"&gt;&lt;/div&gt;' +
              '&lt;div class="cube-face cube-face--bottom"&gt;&lt;/div&gt;' +
            '&lt;/div&gt;' +
          '&lt;/div&gt;' +
          '&lt;div class="state-title"&gt;Busca de Inventário&lt;/div&gt;' +
          '&lt;div class="state-sub"&gt;Digite o nome do produto para localizar&lt;/div&gt;';
      } else if (type === "empty") {
        wrap.classList.add("state-empty");
        wrap.innerHTML =
          '&lt;div class="state-icon"&gt;' +
            '&lt;svg viewBox="0 0 24 24"&gt;' +
              '&lt;circle cx="11" cy="11" r="8"/&gt;' +
              '&lt;line x1="21" y1="21" x2="16.65" y2="16.65"/&gt;' +
              '&lt;line x1="8" y1="11" x2="14" y2="11"/&gt;' +
            '&lt;/svg&gt;' +
          '&lt;/div&gt;' +
          '&lt;div class="state-title"&gt;Nenhum produto encontrado&lt;/div&gt;' +
          '&lt;div class="state-sub"&gt;Tente outros termos ou verifique a grafia&lt;/div&gt;';
      } else {
        wrap.classList.add("state-min");
        wrap.innerHTML =
          '&lt;div class="state-icon"&gt;' +
            '&lt;svg viewBox="0 0 24 24"&gt;' +
              '&lt;circle cx="11" cy="11" r="8"/&gt;' +
              '&lt;line x1="21" y1="21" x2="16.65" y2="16.65"/&gt;' +
            '&lt;/svg&gt;' +
          '&lt;/div&gt;' +
          '&lt;div class="state-title"&gt;Digite ao menos 2 caracteres&lt;/div&gt;';
      }
      return wrap;
    }
    /* ──────────────────────────────────────────────────────────────────────────
       INIT
    ────────────────────────────────────────────────────────────────────────── */
    renderRecents();
    showHint();
  &lt;/script&gt;
&lt;/body&gt;
&lt;/html&gt;</t>
  </si>
  <si>
    <t xml:space="preserve">Por favor, melhore a frase de solicitação de um prompt com esses ajustes.
Vamos fazer ajustes, segue as solicitações:
Quero modificar o título do e-mail que é enviado referente ao relatório da aba "inventário", eu quero o título como algo assim: Essência do Brasil – Para Produção dos Rótulos · 1 item(s) indisponível(s). Substituindo as palavras inativo(s) por indisponível(s) tanto no título como no assunto do e-mail.
Sobre a caixa que abre referente ao relatório do e-mail, posicionar também no centro na aba "validade", exatamente como está posicinado na aba "inventário"
Sobre os destinatário dos e-mail(s) salvos, quero que se reflita em ambas as abas "validade" e inventário". Atualmente se eu salvo o destinatário em uma das abas, não é refletida na outra, sendo necessário fazer o processo duas vezes, por isso quero vincular isso para uma refletir na outra os destinatários salvos.
Sobre a pré-visulização, está muito simplista, atualmente só aparece um pequeno texto, necessário a visualição do e-mail completo, isto é, não só o título e/ou textos, mais o e-mail completo, exatamente como chegará ao destinário, incluindo as informações do corpo do e-mail que chegará ao destinatário, como se fosse um print de como exatamente o e-mail chegará com todas as informações.
Trocar o nome da aba "Sem Etiqueta" no Dashboard por "Para Produção", mantendo as mesmas funcionalidades, somente substituindo o nome mesmo.
Os itens indisponíveis são ataulizados na aba "Inventário" corretamente, isto é, apresenta o "0" na célula subsquente do item referido, mas ainda temos um importante problema, quando a busca é feita novamente no Dashboard na aba "Inventário", o item ainda aparece na busca de resultados no Dashboard, sendo que não deveria aparecer, pois os que apresentam o "0" na célula subsquente do item referido não entra no resutado de busca do Dashboard, resultando em não encontrado.
A versão mobile ainda não está bom. Solicito um layout e desgin mais compatível com um aplicativo, isto é, mais compacto, com cards maiores, com ícones maiores, com a organização mais simples. Na versão mobile, pode até retirar elementos visuais e focar mais na praticidade, pois está muito pequeno os botões, os campos pequenos, principalmente para telas pequenas.
Ainda na versão mobile, o elemento da "Lupa" no Home, não precisa aparecer, assim podemos deixar os cards maiores como de aplicativos, mas visíveis para telas menores.
A aba "Status_Inativos" tem que levar em consideração todos os que estão indisponíveis, isto é, todos os itens da aba "Inventário" da planilha que tem o 0 na célula subsequente e não somente os que foram inativados pelo Dashboard.
No home do Dashboard, pode retirar os cards que estão como "Em Breve". Vamos deixar somente os que estão em uso. Caso eu quera adicionar outros, informarei no futuro.
</t>
  </si>
  <si>
    <t>Mostre o conteúdo completo aqui para eu copiar direto no GitHub ou no Apps Script</t>
  </si>
  <si>
    <t>Vamos realizar alguns ajustes no sistema. Seguem as solicitações detalhadas:
Título e assunto do e-mail (aba "Inventário")
Ajustar o título e o assunto do e-mail enviado a partir da aba "Inventário" para o seguinte padrão:
“Essência do Brasil – Para Produção dos Rótulos · X item(s) indisponível(s)”
Além disso, substituir o termo “inativo(s)” por “indisponível(s)” em todos os pontos, incluindo título e assunto.
Posicionamento da caixa de envio (aba "Validade")
Centralizar a caixa de envio de e-mail na aba "Validade", replicando exatamente o mesmo posicionamento já utilizado na aba "Inventário".
Sincronização de destinatários salvos
Unificar os destinatários salvos entre as abas "Validade" e "Inventário".
Ou seja, ao salvar um e-mail em uma aba, ele deve automaticamente aparecer na outra, evitando a necessidade de cadastro duplicado.
Melhoria da pré-visualização do e-mail
A pré-visualização atual está muito simplificada.
Ajustar para exibir o e-mail completo, incluindo:
Título
Assunto
Corpo do e-mail
Estrutura visual final
A visualização deve simular exatamente como o destinatário receberá o e-mail (como um “preview real” ou equivalente a um print do envio final).
Alteração de nome no Dashboard
Renomear a aba "Sem Etiqueta" para "Para Produção", mantendo todas as funcionalidades existentes.
Correção na busca do Dashboard (aba "Inventário")
Atualmente, itens com valor “0” na célula subsequente (indicando indisponibilidade) continuam aparecendo nos resultados de busca do Dashboard.
Corrigir esse comportamento para que:
Itens com valor “0” sejam excluídos dos resultados de busca
Esses itens retornem como não encontrados
Melhorias na versão mobile (layout e usabilidade)
A versão mobile ainda não está adequada. Ajustar para um formato mais próximo de aplicativo, com:
Layout mais compacto e organizado
Cards maiores
Ícones maiores
Botões e campos mais acessíveis para telas pequenas
Se necessário, reduzir elementos visuais para priorizar a usabilidade.
Ajustes específicos na versão mobile
Remover o ícone de lupa na tela inicial (Home)
Utilizar o espaço para ampliar os cards e melhorar a navegação
Ajuste na aba "Status_Inativos"
A aba deve considerar como “indisponíveis” todos os itens da aba "Inventário" que possuem valor 0 na célula subsequente, e não apenas aqueles inativados manualmente pelo Dashboard.
Limpeza do Dashboard (Home)
Remover todos os cards marcados como "Em Breve", mantendo apenas os que estão em uso atualmente.
Novos cards poderão ser adicionados posteriormente, conforme necessidade.</t>
  </si>
  <si>
    <t>estilos-base</t>
  </si>
  <si>
    <t>estilos-components</t>
  </si>
  <si>
    <t>estilos-email</t>
  </si>
  <si>
    <t>estilos-home</t>
  </si>
  <si>
    <t>estilos-inventario</t>
  </si>
  <si>
    <t>estilos-layout</t>
  </si>
  <si>
    <t>estilos-tokens</t>
  </si>
  <si>
    <t>estilos-validade</t>
  </si>
  <si>
    <t>page-sem-etiqueta</t>
  </si>
  <si>
    <t>commit e push de todas as alterações no index.html para o branch main</t>
  </si>
  <si>
    <t>Analise o meu .gs e os meus .html no GitHub
Vamos realizar alguns ajustes no sistema. Seguem as solicitações detalhadas:
Título e assunto do e-mail (aba "Inventário")
Ajustar o título e o assunto do e-mail enviado a partir da aba "Inventário" para o seguinte padrão:
“Essência do Brasil – Para Produção dos Rótulos · X item(s) indisponível(s)”
Além disso, substituir o termo “inativo(s)” por “indisponível(s)” em todos os pontos, incluindo título e assunto.
Posicionamento da caixa de envio (aba "Validade")
Centralizar a caixa de envio de e-mail na aba "Validade", replicando exatamente o mesmo posicionamento já utilizado na aba "Inventário".
Sincronização de destinatários salvos
Unificar os destinatários salvos entre as abas "Validade" e "Inventário".
Ou seja, ao salvar um e-mail em uma aba, ele deve automaticamente aparecer na outra, evitando a necessidade de cadastro duplicado.
Melhoria da pré-visualização do e-mail
A pré-visualização atual está muito simplificada.
Ajustar para exibir o e-mail completo, incluindo:
Título
Assunto
Corpo do e-mail
Estrutura visual final
A visualização deve simular exatamente como o destinatário receberá o e-mail (como um “preview real” ou equivalente a um print do envio final).
Alteração de nome no Dashboard
Renomear a aba "Sem Etiqueta" para "Para Produção", mantendo todas as funcionalidades existentes.
Correção na busca do Dashboard (aba "Inventário")
Atualmente, itens com valor “0” na célula subsequente (indicando indisponibilidade) continuam aparecendo nos resultados de busca do Dashboard.
Corrigir esse comportamento para que:
Itens com valor “0” sejam excluídos dos resultados de busca
Esses itens retornem como não encontrados
Melhorias na versão mobile (layout e usabilidade)
A versão mobile ainda não está adequada. Ajustar para um formato mais próximo de aplicativo, com:
Layout mais compacto e organizado
Cards maiores
Ícones maiores
Botões e campos mais acessíveis para telas pequenas
Se necessário, reduzir elementos visuais para priorizar a usabilidade.
Ajustes específicos na versão mobile
Remover o ícone de lupa na tela inicial (Home)
Utilizar o espaço para ampliar os cards e melhorar a navegação
Ajuste na aba "Status_Inativos"
A aba deve considerar como “indisponíveis” todos os itens da aba "Inventário" que possuem valor 0 na célula subsequente, e não apenas aqueles inativados manualmente pelo Dashboard.
Limpeza do Dashboard (Home)
Remover todos os cards marcados como "Em Breve", mantendo apenas os que estão em uso atualmente.
Novos cards poderão ser adicionados posteriormente, conforme necessidade.
Se tiver dúvidas, por favor, perguntar antes de preparar o prompt para que possa ser feito certo, como solicitado.
Só preciso do prompt pronto para que eu possa fazer o envio pelo meu Claude Code CLI no Windows</t>
  </si>
  <si>
    <t>function include(filename) {
  return HtmlService.createHtmlOutputFromFile(filename).getContent();
}
function doGet() {
  return HtmlService.createTemplateFromFile('index')
    .evaluate()
    .setXFrameOptionsMode(HtmlService.XFrameOptionsMode.ALLOWALL)
    .setTitle('Essência do Brasil — Sistema de Gestão');
}
function buscarProdutosWeb(termoBusca) {
  var ss    = SpreadsheetApp.getActiveSpreadsheet();
  var sheet = ss.getSheetByName("Inventário");
  var dados = sheet.getDataRange().getValues();
  var HEADER_ROW = 0;
  var START_ROW  = 1;
  var palavras = termoBusca
    .toLowerCase()
    .split("+")
    .map(function(p) { return p.trim(); })
    .filter(function(p) { return p; });
  var inativos = getInativosSet();
  var resultados = [];
  for (var i = START_ROW; i &lt; dados.length; i++) {
    for (var j = 2; j &lt; dados[0].length; j += 2) {
      var produto = dados[i][j];
      var qtd     = dados[i][j + 1];
      var caixa   = dados[HEADER_ROW][j];
      if (!produto || !qtd || qtd &lt;= 0) continue;
      var nome  = produto.toString().toLowerCase();
      var match = palavras.every(function(p) { return nome.indexOf(p) !== -1; });
      if (match) {
        var key = produto.toString() + '|' + caixa.toString();
        resultados.push({ produto: produto, caixa: caixa, ativo: inativos.indexOf(key) === -1 });
      }
    }
  }
  return resultados;
}
function getInativosSet() {
  var ss = SpreadsheetApp.getActiveSpreadsheet();
  var sh = ss.getSheetByName('Status_Inativos');
  if (!sh || sh.getLastRow() &lt; 2) return [];
  var data = sh.getRange(2, 1, sh.getLastRow() - 1, 2).getValues();
  return data
    .filter(function(r) { return r[0] &amp;&amp; r[1]; })
    .map(function(r) { return r[0].toString() + '|' + r[1].toString(); });
}
function setProductStatus(produto, caixa, ativo) {
  var ss = SpreadsheetApp.getActiveSpreadsheet();
  var sh = ss.getSheetByName('Status_Inativos');
  if (!sh) {
    sh = ss.insertSheet('Status_Inativos');
    sh.getRange(1, 1, 1, 3).setValues([['Produto', 'Caixa', 'Qtd_Original']]);
    sh.getRange(1, 1, 1, 3).setFontWeight('bold');
  }
  var lastRow = sh.getLastRow();
  var existingRow = -1;
  var existingQtdOriginal = 0;
  if (lastRow &gt;= 2) {
    var data = sh.getRange(2, 1, lastRow - 1, 3).getValues();
    for (var i = 0; i &lt; data.length; i++) {
      if (data[i][0].toString() === produto.toString() &amp;&amp;
          data[i][1].toString() === caixa.toString()) {
        existingRow = i + 2;
        existingQtdOriginal = Number(data[i][2]) || 0;
        break;
      }
    }
  }
  var invSheet = ss.getSheetByName('Inventário');
  var dados = invSheet ? invSheet.getDataRange().getValues() : null;
  var HEADER_ROW = 0;
  if (!ativo) {
    var originalQty = 0;
    if (dados &amp;&amp; invSheet) {
      var found = false;
      for (var i = 1; i &lt; dados.length &amp;&amp; !found; i++) {
        for (var j = 2; j &lt; dados[0].length &amp;&amp; !found; j += 2) {
          if (dados[i][j] &amp;&amp; dados[i][j].toString() === produto.toString() &amp;&amp;
              dados[HEADER_ROW][j] &amp;&amp; dados[HEADER_ROW][j].toString() === caixa.toString()) {
            originalQty = Number(dados[i][j + 1]) || 0;
            invSheet.getRange(i + 1, j + 2).setValue(0);
            found = true;
          }
        }
      }
    }
    if (existingRow &lt; 0) {
      sh.appendRow([produto, caixa, originalQty]);
    }
  } else {
    if (existingRow &gt; 0) {
      var origQty = existingQtdOriginal || 1;
      if (dados &amp;&amp; invSheet) {
        var found2 = false;
        for (var i = 1; i &lt; dados.length &amp;&amp; !found2; i++) {
          for (var j = 2; j &lt; dados[0].length &amp;&amp; !found2; j += 2) {
            if (dados[i][j] &amp;&amp; dados[i][j].toString() === produto.toString() &amp;&amp;
                dados[HEADER_ROW][j] &amp;&amp; dados[HEADER_ROW][j].toString() === caixa.toString()) {
              invSheet.getRange(i + 1, j + 2).setValue(origQty);
              found2 = true;
            }
          }
        }
      }
      sh.deleteRow(existingRow);
    }
  }
  return { sucesso: true, produto: produto, ativo: ativo };
}
function getSemEtiquetaData() {
  var ss = SpreadsheetApp.getActiveSpreadsheet();
  var sh = ss.getSheetByName('Status_Inativos');
  if (!sh || sh.getLastRow() &lt; 2) return [];
  var data = sh.getRange(2, 1, sh.getLastRow() - 1, 3).getValues();
  return data
    .filter(function(r) { return r[0] &amp;&amp; r[1]; })
    .map(function(r) { return { produto: String(r[0]), caixa: String(r[1]), qtdOriginal: r[2] || 0 }; });
}
function enviarRelatorioInativosEmail(destinatario) {
  var ss = SpreadsheetApp.getActiveSpreadsheet();
  var sh = ss.getSheetByName('Status_Inativos');
  if (!sh || sh.getLastRow() &lt; 2)
    return { sucesso: true, mensagem: 'Nenhum produto inativo encontrado.' };
  var data = sh.getRange(2, 1, sh.getLastRow() - 1, 2).getValues();
  var inativos = data.filter(function(r) { return r[0] &amp;&amp; r[1]; });
  if (inativos.length === 0)
    return { sucesso: true, mensagem: 'Nenhum produto inativo encontrado.' };
  var tz      = Session.getScriptTimeZone();
  var now     = Utilities.formatDate(new Date(), tz, 'dd/MM/yyyy HH:mm');
  var linhas  = inativos.map(function(r) {
    return '&lt;tr&gt;' +
      '&lt;td style="padding:10px 14px;border-bottom:1px solid #1e3a22;"&gt;' + r[0] + '&lt;/td&gt;' +
      '&lt;td style="padding:10px 14px;border-bottom:1px solid #1e3a22;color:#777;"&gt;' + r[1] + '&lt;/td&gt;&lt;/tr&gt;';
  }).join('');
  var html =
    '&lt;div style="font-family:Arial,sans-serif;max-width:600px;margin:0 auto;' +
    'background:#040d06;color:#ccc;padding:32px;border-radius:8px;"&gt;' +
    '&lt;h2 style="color:#00ff96;margin:0 0 4px;font-size:20px;"&gt;Relatório — Produtos Inativos&lt;/h2&gt;' +
    '&lt;p style="color:#666;font-size:13px;margin:0 0 24px;"&gt;Essência do Brasil · ' + now + '&lt;/p&gt;' +
    '&lt;table style="width:100%;border-collapse:collapse;"&gt;' +
    '&lt;tr&gt;&lt;th style="text-align:left;padding:10px 14px;color:#00ff96;border-bottom:2px solid #1e4a28;font-size:12px;letter-spacing:1px;"&gt;PRODUTO&lt;/th&gt;' +
    '&lt;th style="text-align:left;padding:10px 14px;color:#00ff96;border-bottom:2px solid #1e4a28;font-size:12px;letter-spacing:1px;"&gt;CAIXA&lt;/th&gt;&lt;/tr&gt;' +
    linhas +
    '&lt;/table&gt;&lt;p style="margin-top:20px;font-size:12px;color:#555;"&gt;Total: &lt;strong style="color:#00ff96;"&gt;' +
    inativos.length + '&lt;/strong&gt; produto(s) inativo(s)&lt;/p&gt;&lt;/div&gt;';
  var subject = 'Essência do Brasil – Para Produção dos Rótulos · ' +
    inativos.length + ' produto(s) inativo(s) · ' + now;
  var recipients = destinatario.split(',').map(function(e) { return e.trim(); }).filter(Boolean);
  recipients.forEach(function(email) {
    MailApp.sendEmail({ to: email, subject: subject, htmlBody: html });
  });
  return { sucesso: true, mensagem: 'Relatório enviado para ' + recipients.join(', ') };
}
function enviarRelatorioValidadeEmail(destinatario) {
  var ss    = SpreadsheetApp.getActiveSpreadsheet();
  var sheet = ss.getSheetByName('Validade');
  if (!sheet) return { sucesso: false, mensagem: 'Aba "Validade" não encontrada.' };
  var rows     = sheet.getDataRange().getValues();
  var vencidos = [];
  var criticos = [];
  for (var i = 1; i &lt; rows.length; i++) {
    var r = rows[i];
    if (!r[1]) continue;
    var item = {
      produto:  String(r[1]  || ''),
      validade: String(r[5]  || ''),
      dias:     Number(r[6]) || 0,
      estoque:  String(r[9]  || '')
    };
    if (item.dias &lt; 0)        vencidos.push(item);
    else if (item.dias &lt;= 30) criticos.push(item);
  }
  if (!vencidos.length &amp;&amp; !criticos.length) {
    return { sucesso: true, mensagem: 'Nenhum produto crítico ou vencido para reportar.' };
  }
  var tz  = Session.getScriptTimeZone();
  var now = Utilities.formatDate(new Date(), tz, 'dd/MM/yyyy HH:mm');
  function tableRows(list, cor) {
    var out = '';
    for (var k = 0; k &lt; list.length; k++) {
      var p  = list[k];
      var bg = (k % 2 === 0) ? '#fafafa' : '#ffffff';
      out += '&lt;tr style="background:' + bg + '"&gt;' +
        '&lt;td style="padding:8px 10px;color:#333"&gt;' + p.produto + '&lt;/td&gt;' +
        '&lt;td style="padding:8px 10px;text-align:center;color:#555"&gt;' + p.validade + '&lt;/td&gt;' +
        '&lt;td style="padding:8px 10px;text-align:center;color:' + cor + ';font-weight:700"&gt;' + p.dias + 'd&lt;/td&gt;' +
        '&lt;td style="padding:8px 10px;text-align:center;color:#555"&gt;' + p.estoque + '&lt;/td&gt;' +
        '&lt;/tr&gt;';
    }
    return out;
  }
  var html =
    '&lt;div style="font-family:Arial,sans-serif;max-width:700px;margin:0 auto;background:#f4f4f4;padding:20px"&gt;' +
      '&lt;div style="background:#071a0b;border-radius:12px;padding:24px;margin-bottom:20px"&gt;' +
        '&lt;h1 style="margin:0 0 6px;font-size:22px;color:#00e676"&gt;Essência do Brasil&lt;/h1&gt;' +
        '&lt;p style="margin:0;font-size:11px;color:rgba(0,230,118,0.6);letter-spacing:1px"&gt;RELATÓRIO DE VALIDADE — ' + now + '&lt;/p&gt;' +
      '&lt;/div&gt;';
  if (vencidos.length) {
    html +=
      '&lt;div style="background:#fff;border-radius:10px;padding:20px;margin-bottom:16px;border-left:4px solid #c62828"&gt;' +
        '&lt;h2 style="color:#c62828;margin:0 0 14px;font-size:16px"&gt;&amp;#9888; Vencidos (' + vencidos.length + ')&lt;/h2&gt;' +
        '&lt;table style="width:100%;border-collapse:collapse;font-size:13px"&gt;' +
          '&lt;tr style="background:#ffebee"&gt;' +
            '&lt;th style="text-align:left;padding:8px 10px;color:#c62828"&gt;Produto&lt;/th&gt;' +
            '&lt;th style="padding:8px 10px;color:#c62828"&gt;Validade&lt;/th&gt;' +
            '&lt;th style="padding:8px 10px;color:#c62828"&gt;Dias&lt;/th&gt;' +
            '&lt;th style="padding:8px 10px;color:#c62828"&gt;Estoque&lt;/th&gt;' +
          '&lt;/tr&gt;' +
          tableRows(vencidos, '#c62828') +
        '&lt;/table&gt;' +
      '&lt;/div&gt;';
  }
  if (criticos.length) {
    html +=
      '&lt;div style="background:#fff;border-radius:10px;padding:20px;margin-bottom:16px;border-left:4px solid #e65100"&gt;' +
        '&lt;h2 style="color:#e65100;margin:0 0 14px;font-size:16px"&gt;&amp;#9888; Críticos — vence em até 30 dias (' + criticos.length + ')&lt;/h2&gt;' +
        '&lt;table style="width:100%;border-collapse:collapse;font-size:13px"&gt;' +
          '&lt;tr style="background:#fff3e0"&gt;' +
            '&lt;th style="text-align:left;padding:8px 10px;color:#e65100"&gt;Produto&lt;/th&gt;' +
            '&lt;th style="padding:8px 10px;color:#e65100"&gt;Validade&lt;/th&gt;' +
            '&lt;th style="padding:8px 10px;color:#e65100"&gt;Dias&lt;/th&gt;' +
            '&lt;th style="padding:8px 10px;color:#e65100"&gt;Estoque&lt;/th&gt;' +
          '&lt;/tr&gt;' +
          tableRows(criticos, '#e65100') +
        '&lt;/table&gt;' +
      '&lt;/div&gt;';
  }
  html +=
      '&lt;div style="text-align:center;padding:16px;color:#aaa;font-size:11px"&gt;' +
        'Gerado automaticamente pelo Sistema de Gestão Essência do Brasil' +
      '&lt;/div&gt;' +
    '&lt;/div&gt;';
  var subject = 'Essência do Brasil – Relatório de Validade · ' +
    vencidos.length + ' vencido(s) · ' + criticos.length + ' crítico(s) · ' + now;
  var recipients = destinatario.split(',').map(function(e) { return e.trim(); }).filter(Boolean);
  recipients.forEach(function(email) {
    MailApp.sendEmail({ to: email, subject: subject, htmlBody: html });
  });
  return { sucesso: true, mensagem: 'Relatório de validade enviado para ' + recipients.join(', ') };
}
function enviarRelatorioInativo() {
  var ss    = SpreadsheetApp.getActiveSpreadsheet();
  var sheet = ss.getSheetByName("Validade");
  if (!sheet) return { ok: false, msg: 'Aba "Validade" não encontrada.' };
  var rows     = sheet.getDataRange().getValues();
  var vencidos = [];
  var criticos = [];
  for (var i = 1; i &lt; rows.length; i++) {
    var r = rows[i];
    if (!r[1]) continue;
    var item = {
      produto:    String(r[1]  || ''),
      validade:   String(r[5]  || ''),
      dias:       Number(r[6]) || 0,
      status:     String(r[7]  || ''),
      estoque:    String(r[9]  || ''),
      observacao: String(r[10] || '')
    };
    if (item.dias &lt; 0)        vencidos.push(item);
    else if (item.dias &lt;= 30) criticos.push(item);
  }
  if (!vencidos.length &amp;&amp; !criticos.length) {
    return { ok: true, msg: 'Nenhum produto crítico ou vencido para reportar.' };
  }
  var tz  = Session.getScriptTimeZone();
  var now = Utilities.formatDate(new Date(), tz, 'dd/MM/yyyy HH:mm');
  function tableRows(list, cor) {
    var out = '';
    for (var k = 0; k &lt; list.length; k++) {
      var p  = list[k];
      var bg = (k % 2 === 0) ? '#fafafa' : '#ffffff';
      out += '&lt;tr style="background:' + bg + '"&gt;' +
             '&lt;td style="padding:8px 10px;color:#333"&gt;'                      + p.produto   + '&lt;/td&gt;' +
             '&lt;td style="padding:8px 10px;text-align:center;color:#555"&gt;'    + p.validade  + '&lt;/td&gt;' +
             '&lt;td style="padding:8px 10px;text-align:center;color:' + cor + ';font-weight:700"&gt;' + p.dias + 'd&lt;/td&gt;' +
             '&lt;td style="padding:8px 10px;text-align:center;color:#555"&gt;'    + p.estoque   + '&lt;/td&gt;' +
             '&lt;/tr&gt;';
    }
    return out;
  }
  var html = '' +
    '&lt;div style="font-family:Arial,sans-serif;max-width:700px;margin:0 auto;background:#f4f4f4;padding:20px"&gt;' +
      '&lt;div style="background:#071a0b;border-radius:12px;padding:24px;margin-bottom:20px"&gt;' +
        '&lt;h1 style="margin:0 0 6px;font-size:22px;color:#00e676"&gt;Essência do Brasil&lt;/h1&gt;' +
        '&lt;p style="margin:0;font-size:11px;color:rgba(0,230,118,0.6);letter-spacing:1px"&gt;RELATÓRIO DE VALIDADE — ' + now + '&lt;/p&gt;' +
      '&lt;/div&gt;';
  if (vencidos.length) {
    html += '' +
      '&lt;div style="background:#fff;border-radius:10px;padding:20px;margin-bottom:16px;border-left:4px solid #c62828"&gt;' +
        '&lt;h2 style="color:#c62828;margin:0 0 14px;font-size:16px"&gt;&amp;#9888; Vencidos (' + vencidos.length + ')&lt;/h2&gt;' +
        '&lt;table style="width:100%;border-collapse:collapse;font-size:13px"&gt;' +
          '&lt;tr style="background:#ffebee"&gt;' +
            '&lt;th style="text-align:left;padding:8px 10px;color:#c62828"&gt;Produto&lt;/th&gt;' +
            '&lt;th style="padding:8px 10px;color:#c62828"&gt;Validade&lt;/th&gt;' +
            '&lt;th style="padding:8px 10px;color:#c62828"&gt;Dias&lt;/th&gt;' +
            '&lt;th style="padding:8px 10px;color:#c62828"&gt;Estoque&lt;/th&gt;' +
          '&lt;/tr&gt;' +
          tableRows(vencidos, '#c62828') +
        '&lt;/table&gt;' +
      '&lt;/div&gt;';
  }
  if (criticos.length) {
    html += '' +
      '&lt;div style="background:#fff;border-radius:10px;padding:20px;margin-bottom:16px;border-left:4px solid #e65100"&gt;' +
        '&lt;h2 style="color:#e65100;margin:0 0 14px;font-size:16px"&gt;&amp;#9888; Críticos — vence em até 30 dias (' + criticos.length + ')&lt;/h2&gt;' +
        '&lt;table style="width:100%;border-collapse:collapse;font-size:13px"&gt;' +
          '&lt;tr style="background:#fff3e0"&gt;' +
            '&lt;th style="text-align:left;padding:8px 10px;color:#e65100"&gt;Produto&lt;/th&gt;' +
            '&lt;th style="padding:8px 10px;color:#e65100"&gt;Validade&lt;/th&gt;' +
            '&lt;th style="padding:8px 10px;color:#e65100"&gt;Dias&lt;/th&gt;' +
            '&lt;th style="padding:8px 10px;color:#e65100"&gt;Estoque&lt;/th&gt;' +
          '&lt;/tr&gt;' +
          tableRows(criticos, '#e65100') +
        '&lt;/table&gt;' +
      '&lt;/div&gt;';
  }
  html += '' +
      '&lt;div style="text-align:center;padding:16px;color:#aaa;font-size:11px"&gt;' +
        'Gerado automaticamente pelo Sistema de Gestão Essência do Brasil' +
      '&lt;/div&gt;' +
    '&lt;/div&gt;';
  var subject = '[Essência do Brasil] Validade — ' +
                vencidos.length + ' vencido(s) · ' +
                criticos.length + ' crítico(s) · ' + now;
  GmailApp.sendEmail(
    Session.getEffectiveUser().getEmail(),
    subject,
    'Este e-mail requer suporte a HTML para ser exibido corretamente.',
    { htmlBody: html }
  );
  return {
    ok:  true,
    msg: 'Relatório enviado: ' + vencidos.length + ' vencido(s) e ' + criticos.length + ' crítico(s).'
  };
}
function getValidadeData() {
  var ss    = SpreadsheetApp.getActiveSpreadsheet();
  var sheet = ss.getSheetByName("Validade");
  if (!sheet) return [];
  var rows   = sheet.getDataRange().getValues();
  var result = [];
  for (var i = 1; i &lt; rows.length; i++) {
    var r = rows[i];
    if (!r[1]) continue;
    result.push({
      codigoBarras:    String(r[0]  || ""),
      produto:         String(r[1]  || ""),
      dataProducao:    String(r[2]  || ""),
      etiqueta:        String(r[3]  || ""),
      lote:            String(r[4]  || ""),
      validade:        String(r[5]  || ""),
      diasRestantes:   Number(r[6]) || 0,
      status:          String(r[7]  || ""),
      precisaProduzir: String(r[8]  || ""),
      estoque:         String(r[9]  || ""),
      observacao:      String(r[10] || "")
    });
  }
  return result;
}</t>
  </si>
  <si>
    <t>&lt;style&gt;
/* ── RESET ───────────────────────────────────────── */
*, *::before, *::after { box-sizing: border-box; margin: 0; padding: 0; }
::-webkit-scrollbar { width: 6px; height: 6px; }
::-webkit-scrollbar-track { background: transparent; }
::-webkit-scrollbar-thumb { background: var(--scrollbar-thumb); border-radius: 6px; }
::-webkit-scrollbar-thumb:hover { background: var(--green-400); }
* { scrollbar-width: thin; scrollbar-color: var(--scrollbar-thumb) transparent; }
/* ── CORPO E LAYOUT GLOBAL ───────────────────────── */
html, body {
  margin: 0; padding: 0; min-height: 100vh;
  font-family: var(--font);
  background: var(--bg);
  color: var(--text-primary);
  overflow-x: hidden;
  transition: background 0.3s, color 0.3s;
}
body::before {
  content: '';
  position: fixed; inset: 0;
  background-image:
    linear-gradient(rgba(0,200,83,0.035) 1px, transparent 1px),
    linear-gradient(90deg, rgba(0,200,83,0.035) 1px, transparent 1px);
  background-size: 40px 40px;
  pointer-events: none; z-index: 0;
}
[data-theme="dark"] body::before {
  background-image:
    linear-gradient(rgba(0,230,118,0.04) 1px, transparent 1px),
    linear-gradient(90deg, rgba(0,230,118,0.04) 1px, transparent 1px);
}
#app { position: relative; z-index: 1; min-height: 100vh; }
/* ── PÁGINAS — show/hide com animação ────────────── */
.page { display: none; min-height: 100vh; }
.page.active { display: flex; flex-direction: column; animation: pageIn 0.3s ease both; }
@keyframes pageIn {
  from { opacity: 0; transform: translateY(12px); }
  to   { opacity: 1; transform: translateY(0); }
}
/* ── IS-MOBILE overrides (Task 1) ────────────────── */
body.is-mobile .page-content { padding: 16px 12px 80px; }
body.is-mobile .search-area  { padding: 14px 12px; }
body.is-mobile .main-card    { border-radius: 12px; }
body.is-mobile .item         { padding: 10px 12px; }
body.is-mobile .nav-card     { padding: 14px 12px 46px; }
body.is-mobile .home-hero    { padding: 20px 16px 80px; }
body.is-mobile .home-header  { padding: 10px 16px; }
body.is-mobile .filtros-bar  { flex-direction: column; }
body.is-mobile .summary-grid { grid-template-columns: repeat(3, 1fr); gap: 8px; }
body.is-mobile .summary-value { font-size: 18px; }
/* ── PRINT ───────────────────────────────────────── */
@media print {
  .home-scan, .hud-corner, .home-particles,
  .scroll-top, .toast-wrap, .ov-bg, #confetti,
  .mob-nav-bar, .page-header-right, .back-btn, .home-header-actions { display: none !important; }
  body::before { display: none; }
  .main-card { box-shadow: none; border: 1px solid #ddd; }
  .home-page { background: #fff !important; color: #000 !important; }
}
&lt;/style&gt;</t>
  </si>
  <si>
    <t>&lt;style&gt;
/* ── Ícone btn ───────────────────────────────────── */
.icon-btn {
  background: none; border: 1px solid var(--border);
  border-radius: var(--radius-sm); width: 36px; height: 36px;
  display: flex; align-items: center; justify-content: center;
  cursor: pointer; color: var(--text-secondary); transition: all var(--tr-fast);
  flex-shrink: 0;
}
.icon-btn:hover { background: var(--green-100); border-color: var(--green-border); color: var(--green-700); }
[data-theme="dark"] .icon-btn:hover { background: rgba(0,200,83,0.08); color: var(--green-400); }
.icon-btn svg { width: 16px; height: 16px; fill: none; stroke: currentColor; stroke-width: 2; stroke-linecap: round; stroke-linejoin: round; }
/* Session stats pill */
.session-stats {
  display: none; align-items: center;
  background: var(--chip-bg); border: 1px solid var(--chip-border);
  border-radius: 20px; padding: 3px 10px;
  font-size: 11px; color: var(--text-muted); white-space: nowrap;
}
.session-stats.visible { display: flex; }
/* ── Botão pequeno ───────────────────────────────── */
.small-btn {
  display: flex; align-items: center; gap: 4px;
  background: var(--toggle-bg); border: none; cursor: pointer;
  color: var(--text-muted); font-size: 11px; font-weight: 500;
  padding: 0 9px; height: 30px; border-radius: 8px;
  white-space: nowrap; transition: background .15s, color .15s; font-family: var(--font);
}
.small-btn svg { width: 12px; height: 12px; stroke: currentColor; fill: none; stroke-width: 2; stroke-linecap: round; stroke-linejoin: round; }
.small-btn:hover { background: var(--chip-bg); color: var(--green-700); }
[data-theme="dark"] .small-btn:hover { color: var(--green-400); }
/* ── Toast ───────────────────────────────────────── */
.toast-wrap {
  position: fixed; bottom: 24px; left: 50%; transform: translateX(-50%);
  z-index: 9999; display: flex; flex-direction: column-reverse; align-items: center; gap: 8px;
  pointer-events: none;
}
.toast {
  display: inline-flex; align-items: center; gap: 8px;
  background: var(--gray-800); color: #fff;
  padding: 10px 18px; border-radius: 24px;
  font-size: 13px; font-weight: 500;
  box-shadow: 0 4px 20px rgba(0,0,0,0.25);
  animation: tIn .24s ease; white-space: nowrap;
  pointer-events: auto;
}
.toast.err  { background: #c62828; }
.toast.copy { background: linear-gradient(135deg, #1565c0, #1976d2); }
.toast svg  { width: 15px; height: 15px; fill: none; stroke: currentColor; stroke-width: 2.5; stroke-linecap: round; flex-shrink: 0; }
@keyframes tIn  { from{opacity:0;transform:translateY(12px) scale(.9)} to{opacity:1;transform:none} }
@keyframes tOut { from{opacity:1;transform:none} to{opacity:0;transform:translateY(8px) scale(.92)} }
.toast.gone { animation: tOut .2s ease forwards; }
/* ── Shortcuts Overlay ───────────────────────────── */
.ov-bg {
  position: fixed; inset: 0; background: rgba(0,0,0,0.55); backdrop-filter: blur(6px);
  z-index: 9998; display: flex; align-items: center; justify-content: center;
  opacity: 0; pointer-events: none; transition: opacity .2s;
}
.ov-bg.on { opacity: 1; pointer-events: auto; }
.ov-card {
  background: var(--surface-solid); border: 1px solid var(--border);
  border-radius: var(--radius-lg); padding: 28px 32px; max-width: 400px; width: 90%;
  box-shadow: var(--shadow-lg); transform: scale(0.94); transition: transform .2s;
  max-height: 85vh; overflow-y: auto;
}
.ov-bg.on .ov-card { transform: scale(1); }
.ov-title {
  font-size: 15px; font-weight: 700; color: var(--text-primary);
  margin-bottom: 18px; display: flex; align-items: center; justify-content: space-between;
}
.ov-close { background: none; border: none; cursor: pointer; color: var(--text-muted); width: 26px; height: 26px; border-radius: 7px; display: flex; align-items: center; justify-content: center; transition: background .15s; }
.ov-close:hover { background: var(--gray-100); color: var(--text-primary); }
.sh-row { display: flex; align-items: center; justify-content: space-between; padding: 9px 0; border-bottom: 1px solid var(--divider); font-size: 13px; color: var(--text-secondary); }
.sh-row:last-child { border-bottom: none; }
.sh-row &gt; span:last-child { display: flex; gap: 4px; flex-shrink: 0; }
.kbd {
  display: inline-flex; align-items: center;
  background: var(--kbd-bg); border: 1px solid var(--kbd-border); border-bottom-width: 2px;
  border-radius: 5px; padding: 2px 7px; font-size: 11.5px;
  font-family: var(--font-mono); color: var(--text-secondary); line-height: 1.6;
}
/* ── Chips / Recentes ────────────────────────────── */
.chip { display: inline-flex; align-items: center; gap: 5px; background: var(--chip-bg); border: 1px solid var(--chip-border); border-radius: 20px; padding: 4px 6px 4px 9px; font-size: 11.5px; color: var(--green-700); cursor: pointer; transition: background .15s, border-color .15s; }
[data-theme="dark"] .chip { color: var(--green-400); }
.chip:hover { background: var(--item-bg); border-color: var(--item-hover-border); }
.chip-text { max-width: 150px; overflow: hidden; text-overflow: ellipsis; white-space: nowrap; }
.chip-remove { background: none; border: none; cursor: pointer; color: var(--chip-border); padding: 0; display: flex; align-items: center; justify-content: center; border-radius: 50%; width: 16px; height: 16px; transition: color .15s; flex-shrink: 0; }
.chip-remove:hover { color: var(--green-700); }
.clear-all-btn { background: none; border: none; cursor: pointer; font-size: 10px; color: var(--text-muted); padding: 2px 7px; border-radius: 5px; transition: color .15s; font-family: var(--font); }
.clear-all-btn:hover { color: var(--green-700); }
/* ── Term Pills ──────────────────────────────────── */
.term-pills-wrap { overflow: hidden; max-height: 0; opacity: 0; transition: max-height .25s ease, opacity .25s ease; }
.term-pills-wrap.open { max-height: 80px; opacity: 1; margin-top: 10px; }
.term-pills-inner { display: flex; flex-wrap: wrap; gap: 6px; align-items: center; }
.term-pill {
  display: inline-flex; align-items: center; gap: 5px;
  padding: 3px 8px 3px 10px; border-radius: 12px;
  font-size: 11px; font-weight: 600;
  background: rgba(21,101,192,.12); color: #1565c0; border: 1px solid rgba(21,101,192,.25);
}
[data-theme="dark"] .term-pill { background: rgba(0,230,118,.10); color: var(--green-400); border-color: rgba(0,230,118,.2); }
.term-pill-x { background: none; border: none; cursor: pointer; color: inherit; opacity: .6; display: flex; align-items: center; padding: 0; }
.term-pill-x:hover { opacity: 1; }
/* ── Badge variants ──────────────────────────────── */
.badge { display: inline-flex; align-items: center; padding: 2px 8px; border-radius: 6px; font-size: 10.5px; font-weight: 600; }
.badge-ok     { background: var(--ok-bg); color: var(--ok-color); }
.badge-warn   { background: var(--warning-bg); color: var(--warning); }
.badge-crit   { background: var(--danger-bg); color: var(--danger); }
.badge-temos  { background: rgba(0,230,118,.10); color: var(--green-700); }
.badge-falta  { background: var(--danger-bg); color: var(--danger); }
.badge-produzir { background: rgba(245,127,23,.10); color: #f57f17; }
[data-theme="dark"] .badge-temos   { background: rgba(0,230,118,.12); color: var(--green-400); }
[data-theme="dark"] .badge-falta   { background: rgba(198,40,40,.15); color: #ef5350; }
[data-theme="dark"] .badge-produzir{ background: rgba(245,127,23,.12); color: #ffb74d; }
/* ── Status Toggle ───────────────────────────────── */
.status-tgl {
  position: relative; width: 38px; height: 21px;
  cursor: pointer; flex-shrink: 0; display: inline-block;
}
.status-tgl-input { opacity: 0; position: absolute; width:0; height:0; }
.status-tgl-track {
  position: absolute; inset: 0; border-radius: 11px;
  background: rgba(0,0,0,0.08); border: 1px solid var(--border);
  transition: all 0.25s;
}
.status-tgl-input:checked + .status-tgl-track {
  background: rgba(46,125,50,0.14); border-color: var(--green, var(--green-700));
}
[data-theme="dark"] .status-tgl-input:checked + .status-tgl-track {
  background: rgba(0,230,118,0.15); border-color: #00e676;
}
.status-tgl-thumb {
  position: absolute; top: 2px; left: 2px;
  width: 15px; height: 15px; border-radius: 50%;
  background: #bbb; transition: all 0.25s;
}
.status-tgl-input:checked ~ .status-tgl-thumb {
  transform: translateX(17px); background: var(--green, var(--green-700));
}
[data-theme="dark"] .status-tgl-input:checked ~ .status-tgl-thumb {
  background: #00e676; box-shadow: 0 0 6px rgba(0,230,118,0.6);
}
/* ── Toggle fading-out animation ─────────────────── */
@keyframes fadeOut {
  to { opacity: 0; transform: translateX(20px); height: 0; padding: 0; margin: 0; border: none; }
}
&lt;/style&gt;</t>
  </si>
  <si>
    <t>&lt;style&gt;
/* ═══════════════════════════════════════════════════
   EMAIL OVERLAY / DRAWER — centered modal (Task 3c)
   ═══════════════════════════════════════════════════ */
.email-overlay {
  position: fixed; inset: 0; background: rgba(0,0,0,0.5);
  z-index: 600; display: flex; align-items: center;
  justify-content: center; animation: fade-in 0.2s ease;
  padding: 16px;
}
@keyframes fade-in { from { opacity:0; } to { opacity:1; } }
.email-drawer {
  width: 100%; max-width: 480px;
  background: var(--surface);
  border: 1px solid var(--border);
  border-radius: 16px;
  animation: drawer-scale-in 0.26s ease;
  max-height: 90vh; overflow-y: auto;
}
@keyframes drawer-scale-in {
  from { transform: scale(0.95); opacity: 0; }
  to   { transform: scale(1); opacity: 1; }
}
.email-drawer-hdr {
  display: flex; align-items: flex-start; justify-content: space-between;
  padding: 20px 20px 14px; border-bottom: 1px solid var(--border);
  position: sticky; top: 0; background: var(--surface); z-index: 1;
}
.email-drawer-title { font-size: 15px; font-weight: 600; color: var(--text-primary); }
.email-drawer-sub   { font-size: 12px; color: var(--text-muted); margin-top: 3px; }
.email-drawer-body  { padding: 18px 20px 8px; }
.email-field-lbl {
  display: block; font-size: 12px; font-weight: 500;
  color: var(--text-muted); margin-bottom: 7px;
}
.email-field-inp {
  width: 100%; padding: 12px 14px; font-size: 16px;
  border: 1px solid var(--border); border-radius: 8px;
  background: var(--bg2, var(--item-bg)); color: var(--text-primary); outline: none;
  transition: border-color 0.2s, box-shadow 0.2s;
  caret-color: var(--green, var(--green-700));
  font-family: var(--font);
}
.email-field-inp:focus {
  border-color: var(--green, var(--green-700));
  box-shadow: 0 0 0 3px var(--green-glow);
}
/* ── Email tag input (Task 3a) ───────────────────── */
.email-tags-wrap {
  display: flex; flex-wrap: wrap; align-items: center; gap: 4px;
  border: 1.5px solid var(--input-border); border-radius: 8px;
  padding: 6px 8px; min-height: 46px;
  background: var(--input-bg); cursor: text;
  transition: border-color 0.2s, box-shadow 0.2s;
}
.email-tags-wrap:focus-within {
  border-color: var(--input-focus-border);
  box-shadow: 0 0 0 3px var(--input-focus-shadow);
  background: var(--surface-solid);
}
.email-tag {
  display: inline-flex; align-items: center; gap: 4px;
  background: rgba(67,160,71,0.12); color: var(--green-700);
  border: 1px solid rgba(67,160,71,0.25); border-radius: 6px;
  padding: 2px 4px 2px 8px; font-size: 12.5px; font-weight: 500;
  white-space: nowrap; flex-shrink: 0;
}
[data-theme="dark"] .email-tag {
  background: rgba(0,230,118,0.1); color: var(--green-400);
  border-color: rgba(0,230,118,0.2);
}
.email-tag-x {
  background: none; border: none; cursor: pointer; color: inherit;
  opacity: 0.6; display: flex; align-items: center; justify-content: center;
  width: 16px; height: 16px; border-radius: 4px; padding: 0; font-size: 14px; line-height: 1;
}
.email-tag-x:hover { opacity: 1; background: rgba(0,0,0,0.08); }
.email-tags-input {
  flex: 1; border: none; outline: none; min-width: 140px;
  font-size: 14px; background: transparent; color: var(--text-primary);
  font-family: var(--font); padding: 2px 0;
}
.email-tags-input::placeholder { color: var(--text-muted); }
/* ── Saved contacts section (Task 3b) ───────────── */
.saved-contacts-section { margin-top: 14px; }
.saved-contacts-hdr {
  display: flex; align-items: center; justify-content: space-between;
  margin-bottom: 8px;
}
.saved-contacts-lbl {
  font-size: 10px; font-weight: 700; letter-spacing: 0.8px;
  text-transform: uppercase; color: var(--text-muted);
}
.saved-contacts-list { display: flex; flex-wrap: wrap; gap: 6px; min-height: 10px; }
.saved-contact-pill {
  display: inline-flex; align-items: center; gap: 4px;
  background: var(--chip-bg); border: 1px solid var(--chip-border);
  border-radius: 16px; padding: 3px 4px 3px 9px;
  font-size: 11.5px; color: var(--green-700); cursor: default;
}
[data-theme="dark"] .saved-contact-pill { color: var(--green-400); }
.saved-contact-add {
  background: none; border: none; cursor: pointer; font-size: 11px;
  color: var(--text-muted); padding: 2px 5px; border-radius: 4px;
  transition: background 0.15s, color 0.15s; line-height: 1;
}
.saved-contact-add:hover { background: var(--green-100); color: var(--green-700); }
.saved-contact-del {
  background: none; border: none; cursor: pointer; color: var(--text-muted);
  padding: 0 4px; font-size: 13px; line-height: 1; border-radius: 4px;
  transition: color 0.15s;
}
.saved-contact-del:hover { color: var(--danger); }
.save-current-link {
  margin-top: 10px; background: none; border: none; cursor: pointer;
  font-size: 11px; color: var(--text-muted); padding: 0;
  text-decoration: underline; font-family: var(--font);
  transition: color 0.15s; display: block;
}
.save-current-link:hover { color: var(--green-700); }
/* ── Email preview step (Task 3d) ────────────────── */
.email-preview-box {
  background: var(--item-bg); border: 1px solid var(--border);
  border-radius: 10px; padding: 16px; font-size: 13px;
  color: var(--text-secondary); line-height: 1.7;
}
.email-preview-box strong { color: var(--text-primary); }
.email-preview-to {
  font-size: 11px; color: var(--text-muted);
  word-break: break-all; margin-top: 6px;
}
.email-preview-subject {
  font-size: 11.5px; font-style: italic; color: var(--text-muted);
  margin-top: 4px; padding: 6px 10px;
  background: var(--surface); border-radius: 6px;
  border: 1px solid var(--divider);
}
/* ── Drawer footer ───────────────────────────────── */
.email-drawer-footer {
  padding: 14px 20px 20px;
  display: flex; flex-direction: column; gap: 8px;
}
.email-send-btn, .email-confirm-btn {
  width: 100%; padding: 13px;
  background: var(--green, var(--green-700)); color: #fff; border: none;
  border-radius: 8px; font-size: 14px; font-weight: 600;
  cursor: pointer; display: flex; align-items: center;
  justify-content: center; gap: 8px;
  transition: opacity 0.2s, transform 0.1s;
}
.email-send-btn:hover, .email-confirm-btn:hover  { opacity: 0.88; }
.email-send-btn:active, .email-confirm-btn:active { transform: scale(0.98); }
.email-send-btn:disabled, .email-confirm-btn:disabled { opacity: 0.45; cursor: not-allowed; }
.email-back-btn {
  width: 100%; padding: 11px;
  background: var(--toggle-bg); color: var(--text-secondary); border: none;
  border-radius: 8px; font-size: 13px; font-weight: 500;
  cursor: pointer; transition: background 0.15s, color 0.15s; font-family: var(--font);
}
.email-back-btn:hover { background: var(--chip-bg); color: var(--text-primary); }
/* ── Mobile adjustments for email modal ──────────── */
@media (max-width: 768px) {
  .email-overlay { padding: 12px; align-items: flex-end; }
  .email-drawer { border-radius: 16px 16px 16px 16px; }
  .email-drawer-footer { padding-bottom: calc(16px + env(safe-area-inset-bottom, 0px)); }
}
@media (max-width: 480px) {
  .email-overlay { padding: 0; align-items: flex-end; }
  .email-drawer { border-radius: 16px 16px 0 0; max-height: 85vh; }
}
&lt;/style&gt;</t>
  </si>
  <si>
    <t>&lt;style&gt;
/* ═══════════════════════════════════════════════════
   HOME PAGE — HUD SCI-FI
   ═══════════════════════════════════════════════════ */
.home-page {
  background: var(--bg);
  color: var(--text-primary);
  align-items: stretch;
  position: relative;
  overflow: hidden;
  min-height: 100vh;
}
.home-page::before {
  content: '';
  position: absolute; inset: 0;
  background-image:
    linear-gradient(rgba(0,230,118,0.04) 1px, transparent 1px),
    linear-gradient(90deg, rgba(0,230,118,0.04) 1px, transparent 1px);
  background-size: 44px 44px;
  pointer-events: none; z-index: 0;
}
.home-particles {
  position: absolute; inset: 0;
  width: 100%; height: 100%;
  pointer-events: none; z-index: 0;
}
/* ── Scan line ───────────────────────────────────── */
.home-scan {
  position: absolute; left: 0; right: 0; height: 1px;
  background: linear-gradient(90deg,
    transparent 0%,
    rgba(0,230,118,0) 10%,
    rgba(0,230,118,0.7) 50%,
    rgba(0,230,118,0) 90%,
    transparent 100%);
  pointer-events: none; z-index: 2;
  animation: homeScanLine 12s linear infinite;
  top: 0; opacity: 0;
}
.home-page.active .home-scan { opacity: 1; }
@keyframes homeScanLine {
  0%   { top: 0%;   opacity: 0; }
  3%   { opacity: 1; }
  97%  { opacity: 0.4; }
  100% { top: 100%; opacity: 0; }
}
/* ── Cantos HUD ──────────────────────────────────── */
.hud-corner { position: absolute; pointer-events: none; z-index: 3; }
.hud-tl { top: 12px; left: 12px; }
.hud-tr { top: 12px; right: 12px; }
.hud-bl { bottom: 64px; left: 12px; }
.hud-br { bottom: 64px; right: 12px; }
/* ── Header da Home ──────────────────────────────── */
.home-header {
  display: flex; align-items: center; justify-content: space-between;
  padding: 14px 40px;
  background: var(--header-bg);
  backdrop-filter: blur(18px);
  border-bottom: 1px solid var(--border);
  position: sticky; top: 0; z-index: 100;
  gap: 16px;
}
.home-logo { display: flex; align-items: center; gap: 12px; flex-shrink: 0; }
.home-logo-icon {
  width: 40px; height: 40px;
  background: linear-gradient(135deg, #1b5e20, #43a047);
  border-radius: 11px;
  display: flex; align-items: center; justify-content: center;
  box-shadow: 0 0 20px rgba(0,230,118,0.25), 0 2px 8px rgba(0,0,0,0.4);
  flex-shrink: 0;
}
.home-logo-name { font-size: 15px; font-weight: 700; color: #e2f0e4; letter-spacing: -0.3px; }
.home-logo-tag  { font-size: 9px; font-weight: 700; letter-spacing: 2px; text-transform: uppercase; color: #00e676; margin-top: 1px; }
.system-status {
  display: flex; align-items: center; gap: 7px;
  background: rgba(0,230,118,0.08);
  border: 1px solid rgba(0,230,118,0.3);
  border-radius: 20px; padding: 5px 14px;
  font-size: 10px; font-weight: 700; letter-spacing: 1.2px;
  text-transform: uppercase; color: #00e676;
  flex-shrink: 0;
}
.system-status-dot {
  width: 6px; height: 6px; border-radius: 50%;
  background: #00e676; box-shadow: 0 0 8px #00e676;
  animation: blink 2.2s ease infinite; flex-shrink: 0;
}
@keyframes blink { 0%,100%{opacity:1} 50%{opacity:0.25} }
.home-header-actions { display: flex; align-items: center; gap: 8px; margin-left: auto; flex-shrink: 0; }
.home-page .icon-btn {
  border-color: rgba(0,230,118,0.2);
  color: rgba(0,230,118,0.65);
}
.home-page .icon-btn:hover {
  background: rgba(0,230,118,0.1);
  border-color: rgba(0,230,118,0.5);
  color: #00e676;
}
/* ── Hero ─────────────────────────────────────────── */
.home-hero {
  flex: 1; display: flex; flex-direction: column;
  justify-content: center;
  padding: 40px 40px 32px;
  position: relative; z-index: 1;
}
.home-layout {
  display: grid;
  grid-template-columns: 1fr 380px;
  gap: 48px;
  align-items: center;
  max-width: 1200px;
  margin: 0 auto;
  width: 100%;
}
.home-content-col {
  display: flex; flex-direction: column; align-items: flex-start;
}
/* ── Badge de status ─────────────────────────────── */
.home-hero-badge {
  display: inline-flex; align-items: center; gap: 8px;
  background: rgba(0,200,83,0.1);
  border: 1px solid rgba(0,230,118,0.3);
  border-radius: 20px; padding: 5px 16px;
  font-size: 10.5px; font-weight: 700; letter-spacing: 1.2px;
  text-transform: uppercase; color: #00e676;
  margin-bottom: 20px;
  font-family: var(--font-mono);
  animation: fadeSlideIn 0.5s ease both;
}
.home-hero-badge-dot {
  width: 6px; height: 6px; border-radius: 50%;
  background: #00e676; box-shadow: 0 0 8px #00e676;
  animation: blink 2s ease infinite; flex-shrink: 0;
}
@keyframes fadeSlideIn { from{opacity:0;transform:translateY(-10px)} to{opacity:1;transform:translateY(0)} }
/* ── Título ──────────────────────────────────────── */
.home-title {
  font-size: clamp(30px, 4.5vw, 52px); font-weight: 800;
  color: #e2f0e4; letter-spacing: -1.5px; line-height: 1.1;
  margin-bottom: 16px;
  animation: fadeSlideIn 0.5s ease 0.08s both;
}
.home-title span {
  background: linear-gradient(135deg, #43ea7a 0%, #00e676 60%, #00ff88 100%);
  -webkit-background-clip: text; -webkit-text-fill-color: transparent; background-clip: text;
}
.home-subtitle {
  font-size: clamp(13px, 1.6vw, 15.5px);
  color: rgba(140,190,150,0.8);
  line-height: 1.7; max-width: 460px;
  margin: 0 0 30px;
  animation: fadeSlideIn 0.5s ease 0.16s both;
}
/* ── Stats strip ─────────────────────────────────── */
.hero-stats {
  display: flex; align-items: stretch;
  background: rgba(0,230,118,0.05);
  border: 1px solid rgba(0,230,118,0.2);
  border-radius: var(--radius-md);
  overflow: hidden; margin: 0 0 32px;
  max-width: 420px; width: 100%;
  animation: fadeSlideIn 0.5s ease 0.22s both;
}
.hero-stat { flex: 1; text-align: center; padding: 14px 10px; }
.hero-stat-value {
  font-family: var(--font-mono); font-size: 17px; font-weight: 700;
  color: #00e676; letter-spacing: 0.5px; line-height: 1;
}
.hero-stat-value.clock-val { font-size: 15px; letter-spacing: 2px; }
.hero-stat-label {
  font-size: 8px; font-weight: 700; letter-spacing: 1.4px;
  text-transform: uppercase; color: rgba(0,230,118,0.4); margin-top: 5px;
}
.hero-stat-divider {
  width: 1px; background: rgba(0,230,118,0.15);
  flex-shrink: 0; margin: 8px 0;
}
/* ── Grid de cards ───────────────────────────────── */
.home-nav-grid {
  display: grid;
  grid-template-columns: repeat(2, 1fr);
  gap: 14px; width: 100%; max-width: 560px;
  animation: fadeSlideIn 0.5s ease 0.3s both;
}
.home-page .nav-card {
  background: rgba(0,20,8,0.75);
  border-color: rgba(0,200,83,0.15);
  box-shadow: 0 2px 12px rgba(0,0,0,0.4);
}
.home-page .nav-card:hover {
  background: rgba(0,28,11,0.9);
  border-color: rgba(0,230,118,0.4);
  box-shadow: 0 0 24px rgba(0,230,118,0.15), 0 4px 20px rgba(0,0,0,0.5);
}
.home-page .nav-card-num { color: rgba(0,230,118,0.22); }
.home-page .nav-card:hover .nav-card-num { color: rgba(0,230,118,0.6); }
.home-page .nav-card-title { color: #e2f0e4; }
.home-page .nav-card-desc  { color: rgba(140,190,150,0.65); }
.home-page .nav-card-label { color: rgba(0,230,118,0.6); }
.home-page .nav-card-icon  { background: rgba(0,200,83,0.1); }
.home-page .nav-card-icon svg { stroke: rgba(0,230,118,0.8); }
.home-page .nav-card:hover .nav-card-icon svg { stroke: #fff; }
.home-page .nav-card-arrow { background: rgba(0,200,83,0.1); border-color: rgba(0,230,118,0.15); }
.home-page .nav-card-arrow svg { stroke: rgba(0,230,118,0.65); }
.home-page .nav-card:hover .nav-card-arrow { background: #1a6b30; border-color: #1a6b30; transform: translateX(4px); }
.home-page .nav-card.disabled { background: rgba(0,15,6,0.5); border-color: rgba(0,200,83,0.07); }
.home-page .badge-soon { background: rgba(255,255,255,0.05); border-color: rgba(255,255,255,0.1); color: rgba(200,220,205,0.5); }
/* ── Sistemas de anéis (coluna direita legado) ───── */
.home-ring-col {
  display: flex; align-items: center; justify-content: center;
  position: relative; animation: fadeSlideIn 0.6s ease 0.2s both;
}
.ring-col-wrapper {
  position: relative;
  display: flex; align-items: center; justify-content: center;
}
.energy-ring-system {
  width: 320px; height: 320px;
  position: relative;
  display: flex; align-items: center; justify-content: center;
  flex-shrink: 0;
}
.ring {
  position: absolute; border-radius: 50%;
  top: 50%; left: 50%;
  transform: translate(-50%, -50%);
}
.ring.r1 { width: 310px; height: 310px; border: 1px dashed rgba(0,230,118,0.12); animation: ringRotate 50s linear infinite; }
.ring.r2 { width: 264px; height: 264px; border: 1px solid rgba(0,230,118,0.22); animation: ringRotate 30s linear infinite reverse; }
.ring.r2::before, .ring.r2::after { content: ''; position: absolute; width: 7px; height: 7px; background: #00e676; border-radius: 50%; box-shadow: 0 0 10px #00e676, 0 0 22px rgba(0,230,118,0.5); }
.ring.r2::before { top: -3.5px; left: 50%; transform: translateX(-50%); }
.ring.r2::after  { bottom: -3.5px; left: 50%; transform: translateX(-50%); }
.ring.r3 { width: 200px; height: 200px; border: 1px dashed rgba(0,230,118,0.3); animation: ringRotate 20s linear infinite; }
.ring.r4 { width: 148px; height: 148px; border: 1.5px solid rgba(0,230,118,0.42); animation: ringRotate 14s linear infinite reverse; }
.ring.r4::before, .ring.r4::after { content: ''; position: absolute; width: 5px; height: 5px; background: #00e676; border-radius: 50%; box-shadow: 0 0 8px #00e676; }
.ring.r4::before { top: -2.5px; left: 50%; transform: translateX(-50%); }
.ring.r4::after  { right: -2.5px; top: 50%; transform: translateY(-50%); }
@keyframes ringRotate {
  from { transform: translate(-50%,-50%) rotate(0deg); }
  to   { transform: translate(-50%,-50%) rotate(360deg); }
}
.ring-orb { position: absolute; border-radius: 50%; top: 50%; left: 50%; transform: translate(-50%,-50%); background: none; }
.ro1 { width: 140px; height: 140px; animation: ringRotate 24s linear infinite; }
.ro1::after { content: ''; position: absolute; width: 6px; height: 6px; background: #00e676; border-radius: 50%; top: -3px; left: 50%; transform: translateX(-50%); box-shadow: 0 0 12px #00e676, 0 0 24px rgba(0,230,118,0.4); }
.ro2 { width: 232px; height: 232px; animation: ringRotate 38s linear infinite reverse; }
.ro2::after { content: ''; position: absolute; width: 5px; height: 5px; background: rgba(0,230,118,0.7); border-radius: 50%; top: -2.5px; right: 28%; box-shadow: 0 0 8px rgba(0,230,118,0.8); }
.ro3 { width: 286px; height: 286px; animation: ringRotate 55s linear infinite; }
.ro3::after { content: ''; position: absolute; width: 4px; height: 4px; background: rgba(0,230,118,0.5); border-radius: 50%; bottom: -2px; left: 38%; box-shadow: 0 0 6px rgba(0,230,118,0.6); }
.ring-core {
  position: relative; z-index: 2;
  width: 112px; height: 112px; border-radius: 50%;
  background: radial-gradient(circle, rgba(0,40,15,0.95) 0%, rgba(0,18,7,0.98) 100%);
  border: 1.5px solid rgba(0,230,118,0.42);
  box-shadow: 0 0 32px rgba(0,230,118,0.15), inset 0 0 22px rgba(0,230,118,0.06);
  display: flex; align-items: center; justify-content: center;
}
.ring-core-inner { display: flex; flex-direction: column; align-items: center; gap: 4px; }
.ring-core-clock { font-family: var(--font-mono); font-size: 13px; font-weight: 700; color: #00e676; letter-spacing: 2px; line-height: 1; }
.ring-core-label { font-family: var(--font-mono); font-size: 5.5px; font-weight: 700; letter-spacing: 1px; text-transform: uppercase; color: rgba(0,230,118,0.45); }
.hud-readout { position: absolute; display: flex; flex-direction: column; gap: 10px; top: 50%; transform: translateY(-50%); }
.hud-ro-left  { right: calc(100% + 14px); }
.hud-ro-right { left: calc(100% + 14px); }
.hud-ro-item  { display: flex; flex-direction: column; gap: 1px; }
.hud-ro-left .hud-ro-item  { align-items: flex-end; }
.hud-ro-right .hud-ro-item { align-items: flex-start; }
.hud-ro-label { font-family: var(--font-mono); font-size: 7.5px; font-weight: 700; letter-spacing: 1.5px; color: rgba(0,230,118,0.38); text-transform: uppercase; }
.hud-ro-value { font-family: var(--font-mono); font-size: 9.5px; font-weight: 700; letter-spacing: 1px; color: rgba(0,230,118,0.8); }
/* ── Footer da Home ──────────────────────────────── */
.home-footer {
  padding: 14px 40px; text-align: center;
  font-size: 11px; color: rgba(0,230,118,0.4);
  border-top: 1px solid rgba(0,230,118,0.1);
  display: flex; align-items: center; justify-content: center; gap: 12px;
  position: relative; z-index: 1;
  font-family: var(--font-mono); letter-spacing: 0.5px;
  background: rgba(4,14,7,0.6);
}
.home-footer-dot { width: 3px; height: 3px; border-radius: 50%; background: rgba(0,230,118,0.3); flex-shrink: 0; }
.home-footer-version {
  display: inline-flex; align-items: center; gap: 4px;
  background: rgba(0,230,118,0.08); border: 1px solid rgba(0,230,118,0.2);
  border-radius: 8px; padding: 1px 7px;
  font-size: 9px; font-weight: 700; color: rgba(0,230,118,0.7); letter-spacing: 1px;
}
/* ── Nav card (base) ─────────────────────────────── */
.nav-card {
  background: rgba(255,255,255,0.65);
  border: 1px solid var(--green-border-soft);
  border-radius: var(--radius-lg);
  padding: 22px 22px 58px;
  cursor: pointer;
  transition: all 0.2s ease;
  text-align: left;
  position: relative; overflow: hidden;
  backdrop-filter: blur(14px);
  box-shadow: var(--shadow-card);
  user-select: none;
}
[data-theme="dark"] .nav-card { background: rgba(0,20,8,0.7); border-color: rgba(0,200,83,0.12); }
.nav-card::before { content: ''; position: absolute; top: 0; left: 0; right: 0; height: 1.5px; background: linear-gradient(90deg, transparent 0%, var(--green-400) 50%, transparent 100%); opacity: 0; transition: opacity 0.2s; }
.nav-card:hover::before { opacity: 1; }
.nav-card::after { content: ''; position: absolute; inset: 0; background: radial-gradient(ellipse 90% 70% at 50% 0%, rgba(0,230,118,0.07), transparent 70%); opacity: 0; transition: opacity 0.2s; pointer-events: none; }
.nav-card:hover::after { opacity: 1; }
.nav-card:hover { border-color: var(--green-border); box-shadow: var(--shadow-green), var(--shadow-md); transform: translateY(-5px); }
[data-theme="dark"] .nav-card:hover { border-color: rgba(0,230,118,0.35); background: rgba(0,25,10,0.8); }
.nav-card:active { transform: translateY(-2px) scale(0.99); }
.nav-card.disabled { opacity: 0.45; cursor: default; pointer-events: none; }
.nav-card-scan { position: absolute; left: 0; right: 0; height: 1px; background: linear-gradient(90deg, transparent, var(--green-neon), transparent); top: -1px; pointer-events: none; opacity: 0; }
.nav-card:hover .nav-card-scan { animation: cardScanDown 0.55s ease forwards; }
@keyframes cardScanDown { 0%{top:0%;opacity:0} 10%{opacity:0.9} 90%{opacity:0.4} 100%{top:100%;opacity:0} }
.nav-card-status { position: absolute; top: 16px; right: 16px; display: flex; align-items: center; gap: 5px; font-size: 8.5px; font-weight: 700; letter-spacing: 1.4px; text-transform: uppercase; font-family: var(--font-mono); }
.nav-card-status.online { color: var(--green-neon); }
.nav-card.disabled .nav-card-status { color: var(--text-muted); }
.nav-card-status-dot { width: 5px; height: 5px; border-radius: 50%; background: var(--green-neon); box-shadow: 0 0 6px var(--green-neon); animation: blink 2.2s ease infinite; flex-shrink: 0; }
.nav-card.disabled .nav-card-status-dot { background: var(--text-muted); box-shadow: none; animation: none; }
.nav-card-num { font-family: var(--font-mono); font-size: 9px; font-weight: 700; letter-spacing: 2px; color: var(--green-border); text-transform: uppercase; margin-bottom: 14px; transition: color 0.2s; }
.nav-card:hover .nav-card-num { color: var(--green-400); }
.nav-card-icon { width: 48px; height: 48px; background: var(--green-100); border-radius: 13px; display: flex; align-items: center; justify-content: center; margin-bottom: 18px; transition: all 0.2s; }
[data-theme="dark"] .nav-card-icon { background: rgba(0,200,83,0.1); }
.nav-card:hover .nav-card-icon { background: linear-gradient(135deg, var(--green-800), var(--green-500)); box-shadow: var(--shadow-green); }
.nav-card-icon svg { transition: stroke 0.2s; stroke: var(--green-700); }
.nav-card:hover .nav-card-icon svg { stroke: #fff; }
[data-theme="dark"] .nav-card-icon svg { stroke: var(--green-400); }
[data-theme="dark"] .nav-card:hover .nav-card-icon svg { stroke: #fff; }
.nav-card-label { font-size: 10px; font-weight: 700; letter-spacing: 1px; text-transform: uppercase; color: var(--green-500); margin-bottom: 5px; }
.nav-card-title { font-size: 19px; font-weight: 700; color: var(--text-primary); margin-bottom: 7px; letter-spacing: -0.3px; line-height: 1.2; }
.nav-card-desc { font-size: 12.5px; color: var(--text-muted); line-height: 1.6; }
.nav-card-arrow { position: absolute; bottom: 22px; right: 22px; width: 32px; height: 32px; border-radius: 50%; background: var(--green-100); border: 1px solid var(--green-border-soft); display: flex; align-items: center; justify-content: center; transition: all 0.2s; }
[data-theme="dark"] .nav-card-arrow { background: rgba(0,200,83,0.1); }
.nav-card:hover .nav-card-arrow { background: var(--green-700); border-color: var(--green-700); transform: translateX(4px); }
.nav-card-arrow svg { stroke: var(--green-600); transition: stroke 0.2s; }
.nav-card:hover .nav-card-arrow svg { stroke: #fff; }
.badge-soon { display: inline-flex; align-items: center; background: var(--gray-100); border: 1px solid var(--gray-200); border-radius: 10px; padding: 2px 8px; font-size: 9px; font-weight: 600; color: var(--gray-500); margin-left: 6px; vertical-align: middle; font-family: var(--font-mono); letter-spacing: 0.5px; }
[data-theme="dark"] .badge-soon { background: rgba(255,255,255,0.04); border-color: rgba(255,255,255,0.08); color: var(--text-muted); }
/* ─── DARK/LIGHT HOME OVERRIDES ─────────────────── */
[data-theme="dark"] .home-page {
  background: linear-gradient(135deg, #071a0b 0%, #04120a 50%, #030a05 100%);
  color: #e2f0e4;
}
[data-theme="light"] .home-page::before { display: none; }
[data-theme="light"] .home-scan         { display: none; }
[data-theme="light"] #homeParticles     { display: none; }
[data-theme="light"] .hud-corner        { display: none; }
[data-theme="light"] #page-home {
  background: radial-gradient(ellipse 90% 55% at 50% 90%, rgba(46,125,50,0.07) 0%, var(--bg) 65%);
}
[data-theme="light"] .home-header { background: var(--header-bg); border-bottom-color: var(--border); }
[data-theme="light"] .home-logo-name { color: var(--text); }
[data-theme="light"] .home-logo-tag  { color: var(--green); }
[data-theme="light"] .home-hero-badge { background: rgba(46,125,50,0.06); border-color: var(--border-hi); color: var(--green); }
[data-theme="light"] .home-hero-badge-dot { background: var(--green); box-shadow: 0 0 8px var(--green-glow); }
[data-theme="light"] .home-title { color: var(--text); }
[data-theme="light"] .home-title span { background: linear-gradient(135deg, var(--green-bright) 0%, var(--green) 100%); -webkit-background-clip: text; background-clip: text; }
[data-theme="light"] .home-subtitle { color: var(--text-dim); }
[data-theme="light"] .hero-stats { background: rgba(46,125,50,0.05); border-color: var(--border); }
[data-theme="light"] .hero-stat-value    { color: var(--green); }
[data-theme="light"] .hero-stat-label    { color: var(--text-dim); }
[data-theme="light"] .hero-stat-divider  { background: var(--border); }
[data-theme="light"] .system-status { background: rgba(46,125,50,0.06); border-color: var(--border-hi); color: var(--green); }
[data-theme="light"] .system-status-dot { background: var(--green); box-shadow: 0 0 8px var(--green-glow); }
[data-theme="light"] .home-page .icon-btn { border-color: var(--border-hi); color: var(--green); }
[data-theme="light"] .home-page .icon-btn:hover { background: rgba(46,125,50,0.1); border-color: var(--green); color: var(--green-bright); }
[data-theme="light"] .home-page .nav-card { background: rgba(255,255,255,0.9); border-color: var(--card-border); box-shadow: 0 2px 8px var(--shadow); }
[data-theme="light"] .home-page .nav-card:hover { background: #ffffff; border-color: var(--border-hi); box-shadow: 0 0 24px var(--green-glow), 0 4px 20px var(--shadow); }
[data-theme="light"] .home-page .nav-card-title  { color: var(--text); }
[data-theme="light"] .home-page .nav-card-desc   { color: var(--text-dim); }
[data-theme="light"] .home-page .nav-card-label  { color: var(--green); }
[data-theme="light"] .home-page .nav-card-num    { color: var(--border-hi); }
[data-theme="light"] .home-page .nav-card-status { color: var(--green); }
[data-theme="light"] .home-page .nav-card-status-dot { background: var(--green); box-shadow: 0 0 6px var(--green-glow); }
[data-theme="light"] .home-page .nav-card-icon   { background: var(--green-100); }
[data-theme="light"] .home-page .nav-card-icon svg { stroke: var(--green-700); }
[data-theme="light"] .home-page .nav-card:hover .nav-card-icon { background: linear-gradient(135deg, var(--green-800), var(--green-500)); }
[data-theme="light"] .home-page .nav-card:hover .nav-card-icon svg { stroke: #fff; }
[data-theme="light"] .home-page .nav-card-arrow  { background: var(--green-100); border-color: var(--green-border-soft); }
[data-theme="light"] .home-page .nav-card-arrow svg { stroke: var(--green-600); }
[data-theme="light"] .home-page .nav-card:hover .nav-card-arrow { background: var(--green-700); border-color: var(--green-700); }
[data-theme="light"] .home-page .badge-soon { background: var(--gray-100); border-color: var(--gray-200); color: var(--gray-500); }
[data-theme="light"] .home-footer { background: var(--bg2); border-color: var(--border); color: var(--text-dim); }
[data-theme="light"] .home-footer-dot { background: var(--border-hi); }
[data-theme="light"] .home-footer-version { background: rgba(46,125,50,0.06); border-color: var(--border); color: var(--green); }
/* ── Perspectiva grid (home, modo claro) ─────────── */
.home-persp-grid {
  position: absolute;
  bottom: 0; left: -30%; right: -30%;
  height: 52%;
  transform: perspective(500px) rotateX(62deg);
  transform-origin: 50% 100%;
  background-image:
    linear-gradient(rgba(46,125,50,0.18) 1px, transparent 1px),
    linear-gradient(90deg, rgba(46,125,50,0.18) 1px, transparent 1px);
  background-size: 56px 56px;
  pointer-events: none;
  z-index: 0;
}
.home-persp-grid::after {
  content: '';
  position: absolute; inset: 0;
  background: linear-gradient(to bottom, var(--bg) 0%, transparent 45%);
}
[data-theme="dark"] .home-persp-grid { display: none; }
/* ═══════════════════════════════════════════════════
   COLUNA LUPA 3D — TASK 8
   ═══════════════════════════════════════════════════ */
.home-lupa-col {
  display: flex; align-items: center; justify-content: center;
  flex-shrink: 0; width: 340px;
  animation: fadeSlideIn 0.6s ease 0.2s both;
}
.lupa-scene {
  position: relative; width: 320px; height: 320px;
  display: flex; align-items: center; justify-content: center;
}
.lupa-halo {
  position: absolute; width: 210px; height: 210px;
  border-radius: 50%;
  background: radial-gradient(circle, var(--green-glow) 0%, transparent 70%);
  animation: halo-pulse 3s ease-in-out infinite;
}
@keyframes halo-pulse {
  0%,100% { transform: scale(1); opacity: 0.7; }
  50%      { transform: scale(1.18); opacity: 1; }
}
.lupa-canvas { position: absolute; inset: 0; pointer-events: none; }
/* Task 8 — lupa-float (replaces lupa-spin) */
.lupa-3d {
  position: relative; width: 200px; height: 230px;
  animation: lupa-float 3s ease-in-out infinite;
}
@keyframes lupa-float {
  0%   { transform: translateY(0px) rotate(-10deg); }
  50%  { transform: translateY(-12px) rotate(-10deg); }
  100% { transform: translateY(0px) rotate(-10deg); }
}
.lupa-ring-el {
  position: absolute; top: 0; left: 50%;
  transform: translateX(-50%);
  width: 155px; height: 155px; border-radius: 50%;
  border: 11px solid var(--green-bright, #43a047);
  box-shadow:
    0 0 0 1px rgba(46,125,50,0.25),
    0 0 18px rgba(46,125,50,0.35),
    0 0 36px rgba(46,125,50,0.12),
    inset 0 0 24px rgba(46,125,50,0.07);
}
[data-theme="dark"] .lupa-ring-el {
  border-color: #00e676;
  box-shadow:
    0 0 0 1px rgba(0,230,118,0.3),
    0 0 22px rgba(0,230,118,0.45),
    0 0 44px rgba(0,230,118,0.15),
    inset 0 0 28px rgba(0,230,118,0.08);
}
.lupa-lens {
  width: 100%; height: 100%; border-radius: 50%; overflow: hidden;
  background: radial-gradient(ellipse at 32% 32%,
    rgba(46,125,50,0.1) 0%, rgba(46,125,50,0.03) 55%, transparent 100%);
  position: relative;
}
[data-theme="dark"] .lupa-lens {
  background: radial-gradient(ellipse at 32% 32%,
    rgba(0,230,118,0.12) 0%, rgba(0,230,118,0.04) 55%, transparent 100%);
}
.lupa-shine-a {
  position: absolute; top: 13%; left: 17%;
  width: 38%; height: 26%; border-radius: 50%;
  background: rgba(255,255,255,0.2); transform: rotate(-28deg); filter: blur(3px);
}
.lupa-shine-b {
  position: absolute; bottom: 22%; right: 18%;
  width: 18%; height: 12%; border-radius: 50%;
  background: rgba(255,255,255,0.1); filter: blur(2px);
}
.lupa-grid-lens {
  position: absolute; inset: 0;
  background-image:
    linear-gradient(rgba(46,125,50,0.12) 1px, transparent 1px),
    linear-gradient(90deg, rgba(46,125,50,0.12) 1px, transparent 1px);
  background-size: 22px 22px;
}
[data-theme="dark"] .lupa-grid-lens {
  background-image:
    linear-gradient(rgba(0,230,118,0.13) 1px, transparent 1px),
    linear-gradient(90deg, rgba(0,230,118,0.13) 1px, transparent 1px);
}
.lupa-handle-el {
  position: absolute; bottom: 0; right: 18%;
  width: 13px; height: 78px;
  background: linear-gradient(155deg,
    var(--green-bright, #43a047) 0%, var(--green, #2e7d32) 55%, #1b5e20 100%);
  border-radius: 6px 6px 4px 4px;
  transform: rotate(-44deg); transform-origin: top center;
  box-shadow: 0 4px 14px rgba(46,125,50,0.3);
}
[data-theme="dark"] .lupa-handle-el {
  background: linear-gradient(155deg, #00e676 0%, #00a854 55%, #007a3d 100%);
  box-shadow: 0 4px 14px rgba(0,230,118,0.35);
}
/* Task 8 — orbital rings + scan line + data points */
.lupa-rings { position: absolute; inset: 0; pointer-events: none; }
.lupa-ring-orbit {
  position: absolute; border-radius: 50%;
  border: 1px solid rgba(67,160,71,0.2);
  animation: orbit-pulse 2.5s ease-in-out infinite;
}
.lupa-ring-orbit--1 { inset: -20px; animation-delay: 0s; }
.lupa-ring-orbit--2 { inset: -40px; animation-delay: 0.8s; border-style: dashed; }
[data-theme="dark"] .lupa-ring-orbit { border-color: rgba(0,230,118,0.2); }
@keyframes orbit-pulse {
  0%, 100% { opacity: 0.3; transform: scale(1); }
  50%       { opacity: 0.7; transform: scale(1.04); }
}
.lupa-scan-line {
  position: absolute; left: 10%; right: 10%; height: 1px;
  background: linear-gradient(90deg, transparent, rgba(67,160,71,0.6), transparent);
  animation: scan-move 2s linear infinite;
  z-index: 3; pointer-events: none;
}
[data-theme="dark"] .lupa-scan-line { background: linear-gradient(90deg, transparent, rgba(0,230,118,0.6), transparent); }
@keyframes scan-move {
  0%   { top: 20%; opacity: 0; }
  10%  { opacity: 1; }
  90%  { opacity: 1; }
  100% { top: 80%; opacity: 0; }
}
.lupa-data-points { position: absolute; inset: 0; pointer-events: none; z-index: 4; }
.lupa-dp {
  position: absolute; font-family: var(--font-mono, monospace);
  font-size: 9px; color: rgba(67,160,71,0.7);
  background: rgba(67,160,71,0.06); border: 1px solid rgba(67,160,71,0.2);
  border-radius: 4px; padding: 2px 5px;
  animation: dp-blink 3s ease-in-out infinite;
}
[data-theme="dark"] .lupa-dp { color: rgba(0,230,118,0.7); background: rgba(0,230,118,0.06); border-color: rgba(0,230,118,0.2); }
.lupa-dp--1 { top: 18%; left: 5%; animation-delay: 0s; }
.lupa-dp--2 { top: 50%; right: 3%; animation-delay: 1s; }
.lupa-dp--3 { bottom: 22%; left: 8%; animation-delay: 2s; }
@keyframes dp-blink {
  0%, 100% { opacity: 0.4; }
  50%       { opacity: 1; }
}
&lt;/style&gt;</t>
  </si>
  <si>
    <t>&lt;style&gt;
/* ═══════════════════════════════════════════════════
   INVENTÁRIO — BUSCA
   ═══════════════════════════════════════════════════ */
.search-area {
  padding: 24px 28px 20px;
  border-bottom: 1px solid var(--divider);
}
.search-wrapper { position: relative; }
.search-icon {
  position: absolute; left: 15px; top: 50%; transform: translateY(-50%);
  width: 17px; height: 17px; pointer-events: none; color: var(--text-muted);
}
.search-icon.pulsing { animation: pulseIcon 0.7s ease infinite; }
@keyframes pulseIcon { 0%,100%{transform:translateY(-50%) scale(1);opacity:1} 50%{transform:translateY(-50%) scale(1.3);opacity:.5} }
.ghost-suggestion {
  position: absolute; left: 44px; top: 50%; transform: translateY(-50%);
  font-size: 15px; pointer-events: none; color: var(--text-muted);
  opacity: .45; white-space: nowrap; overflow: hidden;
}
.search-box {
  width: 100%; height: 52px; padding: 0 48px 0 44px;
  font-size: 15px; border-radius: var(--radius-md);
  border: 1.5px solid var(--input-border); outline: none;
  background: var(--input-bg); color: var(--text-primary);
  font-family: var(--font); transition: border-color 0.2s, box-shadow 0.2s, background 0.2s;
}
.search-box::placeholder { color: var(--text-muted); }
.search-box:focus {
  background: var(--surface-solid);
  border-color: var(--input-focus-border);
  box-shadow: 0 0 0 3px var(--input-focus-shadow);
}
.clear-btn {
  position: absolute; right: 12px; top: 50%; transform: translateY(-50%);
  background: var(--input-border); border: none; cursor: pointer;
  color: var(--text-muted); width: 24px; height: 24px; border-radius: 50%;
  display: none; align-items: center; justify-content: center; transition: background 0.15s;
}
.clear-btn:hover { background: var(--item-hover-border); color: #fff; }
.clear-btn.visible { display: flex; }
.ghost-hint { font-size: 11px; color: var(--text-muted); padding: 5px 4px 0; min-height: 18px; }
.ghost-hint .ghost-tab { display: inline-block; background: var(--toggle-bg); border-radius: 4px; padding: 0 5px; font-size: 10px; font-weight: 700; margin-right: 3px; }
.recents-wrap { margin-top: 14px; }
.recents-header { display: flex; align-items: center; justify-content: space-between; margin-bottom: 8px; }
.recents-label { font-size: 10px; font-weight: 700; letter-spacing: .8px; text-transform: uppercase; color: var(--text-muted); }
.recents { display: flex; flex-wrap: wrap; gap: 6px; }
/* ── Resultados / Toolbar ────────────────────────── */
.results-area { padding: 0 28px 28px; }
.toolbar {
  display: flex; align-items: center; justify-content: space-between;
  overflow: hidden; max-height: 0; opacity: 0; margin-bottom: 0;
  transition: max-height .22s, opacity .22s, margin-bottom .22s;
  flex-wrap: wrap; gap: 6px;
}
.toolbar.visible { max-height: 60px; opacity: 1; margin-bottom: 14px; margin-top: 18px; }
.toolbar-left  { display: flex; align-items: center; gap: 10px; flex-wrap: wrap; }
.toolbar-right { display: flex; align-items: center; gap: 5px; flex-wrap: wrap; }
.result-count { font-size: 12px; color: var(--text-muted); }
.result-count strong { color: var(--green-400); font-weight: 600; }
.cache-badge { display: inline-flex; align-items: center; background: rgba(0,230,118,.12); color: var(--green-400); border-radius: 4px; padding: 1px 5px; font-size: 10px; font-weight: 700; margin-left: 4px; }
.resp-time { font-size: 10.5px; color: var(--text-muted); }
.loading { display: none; align-items: center; gap: 7px; font-size: 12px; color: var(--text-muted); }
.loading.visible { display: flex; }
.spinner { width: 12px; height: 12px; border: 2px solid var(--input-border); border-top-color: var(--green-400); border-radius: 50%; animation: spin .65s linear infinite; flex-shrink: 0; }
@keyframes spin { to { transform: rotate(360deg); } }
.view-toggles { display: flex; gap: 3px; }
.view-btn { background: var(--toggle-bg); border: none; cursor: pointer; color: var(--text-muted); width: 30px; height: 30px; border-radius: 8px; display: flex; align-items: center; justify-content: center; transition: background .15s, color .15s; }
.view-btn svg { width: 14px; height: 14px; fill: none; stroke: currentColor; stroke-width: 2; stroke-linecap: round; stroke-linejoin: round; }
.view-btn.active { background: var(--green-700); color: #fff; }
.toolbar-sort { padding: 4px 8px; border-radius: 8px; border: 1px solid var(--input-border); background: var(--input-bg); color: var(--text-secondary); font-size: 11px; outline: none; cursor: pointer; height: 30px; transition: border-color .2s; font-family: var(--font); }
.toolbar-sort:focus { border-color: var(--input-focus-border); }
/* ── Skeleton ─────────────────────────────────────── */
.skeleton-list { display: grid; gap: 8px; }
.skeleton-item { padding: 13px 16px; border-radius: 13px; background: var(--item-bg); border: 1.5px solid var(--item-border); display: flex; align-items: center; gap: 12px; }
.skel-icon { width: 38px; height: 38px; border-radius: 10px; background: var(--divider); flex-shrink: 0; overflow: hidden; }
.skel-body { flex: 1; display: flex; flex-direction: column; gap: 7px; }
.skel-line { height: 12px; border-radius: 6px; background: var(--divider); overflow: hidden; }
.skel-line.short { width: 40%; }
.shimmer { position: relative; overflow: hidden; }
.shimmer::after { content: ''; position: absolute; inset: 0; background: linear-gradient(90deg, transparent 0%, rgba(255,255,255,.4) 50%, transparent 100%); animation: shimmerAnim 1.4s ease infinite; }
[data-theme="dark"] .shimmer::after { background: linear-gradient(90deg, transparent 0%, rgba(0,230,118,.06) 50%, transparent 100%); }
@keyframes shimmerAnim { from { transform: translateX(-100%); } to { transform: translateX(100%); } }
.skel-list { display: flex; flex-direction: column; gap: 10px; }
.skel-item { height: 72px; border-radius: var(--radius-md); border: 1.5px solid var(--item-border); background: linear-gradient(90deg, var(--gray-100) 25%, var(--gray-50) 50%, var(--gray-100) 75%); background-size: 200% 100%; animation: shimmerAnim2 1.4s infinite; }
@keyframes shimmerAnim2 { 0%{background-position:200% 0} 100%{background-position:-200% 0} }
/* ── Itens (inventário) ─────────────────────────── */
.items-list { display: grid; gap: 8px; }
.items-list.view-list { grid-template-columns: 1fr; }
.items-list.view-grid { grid-template-columns: repeat(auto-fill, minmax(270px, 1fr)); }
.item {
  padding: 13px 16px; border-radius: 13px;
  background: var(--item-bg); border: 1.5px solid var(--item-border);
  display: flex; align-items: center; gap: 12px; min-width: 0;
  cursor: pointer; position: relative; overflow: hidden;
  transition: border-color .17s, box-shadow .17s, transform .17s, background .3s;
  animation: slideIn .26s ease both;
}
.item::after { content: ''; position: absolute; inset: 0; background: linear-gradient(135deg, rgba(0,230,118,0) 0%, rgba(0,230,118,.06) 100%); opacity: 0; transition: opacity .17s; pointer-events: none; }
.item:hover::after { opacity: 1; }
.item:hover { border-color: var(--item-hover-border); box-shadow: 0 6px 22px var(--item-hover-shadow); transform: translateY(-2px); }
.item--focused { border-color: var(--input-focus-border) !important; box-shadow: 0 0 0 3px var(--input-focus-shadow), 0 6px 20px var(--item-hover-shadow) !important; transform: translateY(-2px); }
.item.flash { animation: flashCopy .4s ease; }
@keyframes flashCopy { 0%{background:rgba(0,230,118,.2)} 100%{background:var(--item-bg)} }
@keyframes slideIn { from{opacity:0;transform:translateX(-14px) scale(.98)} to{opacity:1;transform:translateX(0) scale(1)} }
.item-icon { width: 36px; height: 36px; background: var(--badge-bg); border-radius: 10px; display: flex; align-items: center; justify-content: center; flex-shrink: 0; }
.item-icon svg { width: 17px; height: 17px; stroke: var(--green-700); fill: none; stroke-width: 1.8; stroke-linecap: round; stroke-linejoin: round; transition: transform .2s; }
[data-theme="dark"] .item-icon svg { stroke: var(--green-400); }
.item:hover .item-icon svg { transform: rotate(-5deg) scale(1.08); }
.item-info { flex: 1; min-width: 0; }
.produto { font-size: 14px; font-weight: 500; color: var(--text-primary); white-space: nowrap; overflow: hidden; text-overflow: ellipsis; }
.produto mark { background: var(--mark-bg); color: var(--mark-color); border-radius: 2px; padding: 0 1px; font-weight: 700; font-style: normal; }
.caixa-badge { display: inline-flex; align-items: center; gap: 4px; background: var(--badge-bg); color: var(--badge-color); border-radius: 6px; padding: 3px 8px; font-size: 11px; font-weight: 500; margin-top: 5px; }
.caixa-badge svg { width: 11px; height: 11px; stroke: currentColor; fill: none; stroke-width: 2; stroke-linecap: round; stroke-linejoin: round; }
.group-header { display: flex; align-items: center; justify-content: space-between; padding: 9px 14px; background: linear-gradient(90deg, rgba(0,230,118,.08), rgba(0,230,118,.03)); border: 1px solid var(--chip-border); border-radius: 11px; cursor: pointer; margin-bottom: 6px; font-size: 12.5px; font-weight: 700; color: var(--green-700); user-select: none; }
[data-theme="dark"] .group-header { color: var(--green-400); }
.group-header:hover { background: linear-gradient(90deg, rgba(0,230,118,.14), rgba(0,230,118,.06)); }
.group-chevron { width: 14px; height: 14px; stroke: currentColor; fill: none; stroke-width: 2.5; stroke-linecap: round; stroke-linejoin: round; transition: transform .25s; flex-shrink: 0; }
.group-chevron.open { transform: rotate(180deg); }
.group-body { overflow: hidden; display: grid; gap: 8px; }
.group-section { margin-bottom: 14px; }
/* ── States ──────────────────────────────────────── */
.state-box { padding: 38px 28px; text-align: center; }
.state-icon { width: 52px; height: 52px; margin: 0 auto 14px; display: flex; align-items: center; justify-content: center; border-radius: 14px; }
.state-title { font-size: 15px; font-weight: 700; color: var(--text-primary); margin-bottom: 5px; }
.state-desc { font-size: 12.5px; color: var(--text-muted); line-height: 1.6; }
.state-hint .state-icon { background: rgba(100,130,220,.08); }
.state-empty .state-icon { background: rgba(255,180,0,.08); }
.state-min .state-icon { background: var(--gray-100); }
[data-theme="dark"] .state-hint .state-icon { background: rgba(0,200,230,.06); }
[data-theme="dark"] .state-empty .state-icon { background: rgba(255,160,0,.06); }
[data-theme="dark"] .state-min .state-icon { background: rgba(0,200,83,.04); }
/* ── Inactive item ───────────────────────────────── */
.item.fading-out { animation: fadeOut 0.4s ease forwards; pointer-events: none; }
.item.is-inactive { opacity: 0.44; }
.item.is-inactive .produto { text-decoration: line-through; }
&lt;/style&gt;</t>
  </si>
  <si>
    <t>&lt;style&gt;
/* ═══════════════════════════════════════════════════
   HEADER DAS PÁGINAS INTERNAS
   ═══════════════════════════════════════════════════ */
.page-header {
  display: flex; align-items: center; gap: 16px;
  padding: 14px 32px;
  background: rgba(255,255,255,0.82); backdrop-filter: blur(12px);
  border-bottom: 1px solid var(--green-border-soft);
  position: sticky; top: 0; z-index: 100;
  transition: background 0.3s;
}
[data-theme="dark"] .page-header {
  background: rgba(7,13,9,0.88);
  border-bottom-color: rgba(0,230,118,0.08);
}
.back-btn {
  display: flex; align-items: center; gap: 6px;
  background: none; border: 1px solid var(--border);
  border-radius: var(--radius-sm); padding: 7px 12px;
  font-size: 13px; color: var(--text-secondary);
  cursor: pointer; transition: all var(--tr-fast); font-family: var(--font);
  white-space: nowrap; flex-shrink: 0;
}
.back-btn:hover { border-color: var(--green-border); color: var(--green-700); background: var(--green-100); }
[data-theme="dark"] .back-btn:hover { background: rgba(0,200,83,0.08); color: var(--green-400); }
.page-title    { font-size: 17px; font-weight: 700; color: var(--text-primary); letter-spacing: -0.3px; }
.page-subtitle { font-size: 11.5px; color: var(--text-muted); }
.page-header-right {
  margin-left: auto; display: flex; align-items: center;
  gap: 8px; flex-shrink: 0; flex-wrap: nowrap;
}
/* ═══════════════════════════════════════════════════
   CONTEÚDO DAS PÁGINAS INTERNAS
   ═══════════════════════════════════════════════════ */
.page-content {
  flex: 1; padding: 28px 32px 60px;
  max-width: 1080px; margin: 0 auto; width: 100%;
}
.main-card {
  background: var(--surface); border: 1px solid var(--border);
  border-radius: var(--radius-xl); backdrop-filter: blur(16px);
  box-shadow: var(--shadow-card); overflow: hidden;
}
/* ═══════════════════════════════════════════════════
   SCROLL TO TOP + CONFETTI
   ═══════════════════════════════════════════════════ */
.scroll-top {
  position: fixed; bottom: 24px; right: 24px;
  width: 42px; height: 42px; background: var(--green-700); color: #fff;
  border: none; border-radius: 50%; cursor: pointer;
  display: flex; align-items: center; justify-content: center;
  box-shadow: 0 4px 16px rgba(0,230,118,0.3);
  opacity: 0; pointer-events: none; transform: translateY(16px);
  transition: all .25s; z-index: 800;
}
.scroll-top.on { opacity: 1; pointer-events: auto; transform: translateY(0); }
.scroll-top:hover { transform: translateY(-3px) !important; }
#confetti { position: fixed; inset: 0; pointer-events: none; z-index: 7000; }
/* ═══════════════════════════════════════════════════
   MOBILE NAV BAR
   ═══════════════════════════════════════════════════ */
.mob-nav-bar {
  display: none;
  position: fixed; bottom: 0; left: 0; right: 0;
  background: rgba(5,12,7,0.97);
  border-top: 1px solid rgba(0,230,118,0.15);
  backdrop-filter: blur(18px);
  z-index: 500;
  padding: 6px 0 env(safe-area-inset-bottom, 6px);
  justify-content: space-around; align-items: center;
}
.mob-nav-item {
  display: flex; flex-direction: column; align-items: center; gap: 3px;
  background: none; border: none; cursor: pointer;
  color: rgba(0,230,118,0.4);
  font-size: 10px; font-weight: 600; letter-spacing: 0.3px;
  padding: 7px 12px; border-radius: 10px;
  transition: color 0.2s, background 0.2s;
  font-family: var(--font);
  flex: 1; max-width: 90px;
}
.mob-nav-item svg {
  width: 20px; height: 20px; fill: none; stroke: currentColor;
  stroke-width: 2; stroke-linecap: round; stroke-linejoin: round;
  transition: filter 0.2s;
}
.mob-nav-item.active { color: #00e676; }
.mob-nav-item.active svg { filter: drop-shadow(0 0 5px rgba(0,230,118,0.8)); }
.mob-nav-item:active { background: rgba(0,230,118,0.08); }
/* ═══════════════════════════════════════════════════
   RESPONSIVIDADE MOBILE-FIRST
   ═══════════════════════════════════════════════════ */
/* ── &lt; 960px ─────────────────────────────────────── */
@media (max-width: 960px) {
  .home-layout { flex-direction: column; align-items: center; }
  .home-lupa-col { display: none; }
  .home-content-col { max-width: 100%; }
  .home-nav-grid { grid-template-columns: 1fr 1fr; }
}
/* ── &lt; 768px ─────────────────────────────────────── */
@media (max-width: 768px) {
  .mob-nav-bar { display: flex; }
  .home-page { flex-direction: column; overflow-y: auto; height: auto; min-height: 100vh; }
  .home-layout { grid-template-columns: 1fr; grid-template-rows: auto auto; gap: 20px; }
  .energy-ring-system { width: 240px; height: 240px; }
  .ring.r1 { width: 230px; height: 230px; }
  .ring.r2 { width: 185px; height: 185px; }
  .ring.r3 { width: 140px; height: 140px; }
  .ring.r4 { width: 104px; height: 104px; }
  .ring-core { width: 82px; height: 82px; }
  .ring-core-clock { font-size: 11px; }
  .ro1 { width: 104px; height: 104px; }
  .ro2 { width: 162px; height: 162px; }
  .ro3 { width: 212px; height: 212px; }
  .hud-readout { display: none; }
  .home-lupa-col { order: -1; padding: 20px 0 0; }
  .home-content-col { padding: 0; text-align: center; align-items: center; }
  .home-nav-grid { grid-template-columns: 1fr 1fr; max-width: 100%; }
  .hero-stats { max-width: 100%; }
  .home-hero   { padding: 24px 20px 90px; }
  .home-header { padding: 12px 20px; }
  .home-footer { padding: 12px 20px; flex-wrap: wrap; gap: 8px; }
  .home-header .system-status { display: none; }
  .nav-card { padding: 18px 16px 52px; }
  .nav-card-title { font-size: 16px; }
  .summary-grid { grid-template-columns: repeat(3, 1fr); gap: 10px; }
  .summary-value { font-size: 22px; }
  .page-content { padding: 20px 16px 90px; }
  .page-header  { padding: 12px 16px; }
  .search-area  { padding: 18px 16px 14px; }
  .results-area { padding: 0 16px 20px; }
  .toolbar.visible { max-height: 100px; }
  .scroll-top { bottom: 72px; }
  .toast-wrap { bottom: 72px; }
  .toolbar-right { flex-wrap: wrap; gap: 6px; }
  .small-btn span { display: none; }
  .view-toggles { gap: 4px; }
  .home-persp-grid { height: 42%; }
}
/* ── &lt; 640px — Task 1 mobile fixes ──────────────── */
@media (max-width: 640px) {
  .icon-btn { width: 34px; height: 34px; }
  .icon-btn svg { width: 14px; height: 14px; }
  .page-header-right { gap: 6px; flex-wrap: nowrap; }
  .filtros-bar { flex-direction: column; align-items: stretch; }
  .filtros-bar input, .filtros-bar select { width: 100%; min-width: unset; }
  .summary-grid { grid-template-columns: repeat(3, 1fr); gap: 8px; }
  .summary-value { font-size: 18px; }
  .summary-label { font-size: 10px; }
  .summary-card { padding: 12px 10px; }
}
/* ── &lt; 600px ─────────────────────────────────────── */
@media (max-width: 600px) {
  .home-header { padding: 12px 16px; }
  .home-title { font-size: clamp(26px, 7.5vw, 40px); }
  .home-subtitle { font-size: 13px; }
  .hero-stats { gap: 10px; padding: 14px 16px; }
  .hero-stat-value { font-size: 17px; }
  .home-nav-grid { grid-template-columns: 1fr; gap: 10px; }
  .nav-card { padding: 16px; }
  .nav-card-desc { display: none; }
  .page-header { padding: 12px 14px; gap: 8px; min-height: 56px; }
  .page-title { font-size: 15px; }
  .page-subtitle { display: none; }
  .page-header-right .session-stats { display: none; }
  .search-box { font-size: 16px !important; }
  .search-wrapper { margin: 12px 0; }
  .toolbar { flex-wrap: wrap; gap: 8px; }
  .toolbar-right { flex-wrap: wrap; gap: 6px; }
  .small-btn span { display: none; }
  .home-persp-grid { height: 42%; }
}
/* ── &lt; 480px ─────────────────────────────────────── */
@media (max-width: 480px) {
  .home-nav-grid { grid-template-columns: 1fr; }
  .energy-ring-system { width: 196px; height: 196px; }
  .ring.r1 { width: 188px; height: 188px; }
  .ring.r2 { width: 152px; height: 152px; }
  .ring.r3 { width: 114px; height: 114px; }
  .ring.r4 { width: 84px; height: 84px; }
  .ring-core { width: 68px; height: 68px; }
  .ring-core-clock { font-size: 9.5px; }
  .ro1 { width: 84px; height: 84px; }
  .ro2 { width: 132px; height: 132px; }
  .ro3 { width: 174px; height: 174px; }
  .summary-grid { grid-template-columns: 1fr; gap: 8px; }
  .filtros-bar { flex-direction: column; }
  .filtros-bar input, .filtros-bar select { width: 100%; }
  .val-grid { grid-template-columns: 1fr; }
  .page-header { flex-wrap: wrap; gap: 10px; }
  .hero-stats { flex-direction: column; }
  .hero-stat-divider { width: auto; height: 1px; margin: 0 16px; }
  .home-title { font-size: 28px; }
}
/* ── &lt; 400px — Task 1 small phone ────────────────── */
@media (max-width: 400px) {
  .icon-btn { width: 30px; height: 30px; }
  .icon-btn svg { width: 13px; height: 13px; }
  .page-header { padding: 10px 12px; gap: 6px; }
  .page-title { font-size: 14px; }
  .home-header { padding: 10px 12px; }
  .mob-nav-item { padding: 7px 8px; font-size: 9px; max-width: 72px; }
  .mob-nav-item svg { width: 18px; height: 18px; }
  .summary-value { font-size: 16px; }
  .summary-card { padding: 10px 8px; }
}
&lt;/style&gt;</t>
  </si>
  <si>
    <t>&lt;style&gt;
/* ═══════════════════════════════════════════════════
   CSS TOKENS — light
   ═══════════════════════════════════════════════════ */
:root, [data-theme="light"] {
  --bg:              #f7faf7;
  --bg-deep:         #e8ece8;
  --bg2:             #eef4ee;
  --surface:         #ffffff;
  --surface-solid:   #ffffff;
  --surface-2:       rgba(240,245,240,0.9);
  --surface2:        #f0f7f0;
  --green-900: #1b3a1f;
  --green-800: #1b5e20;
  --green-700: #2e7d32;
  --green-600: #388e3c;
  --green-500: #43a047;
  --green-400: #66bb6a;
  --green-300: #a5d6a7;
  --green-100: #e8f5e9;
  --green-neon:        #00e676;
  --green-glow:        rgba(46,125,50,0.2);
  --green-border:      rgba(46,125,50,0.35);
  --green-border-soft: rgba(46,125,50,0.15);
  --green:             #2e7d32;
  --green-bright:      #43a047;
  --card-bg:           #ffffff;
  --card-border:       rgba(46,125,50,0.12);
  --header-bg:         rgba(247,250,247,0.96);
  --scan-color:        rgba(46,125,50,0.06);
  --shadow:            rgba(46,125,50,0.08);
  --gray-900: #1c2526;
  --gray-800: #263238;
  --gray-700: #37474f;
  --gray-600: #546e7a;
  --gray-500: #78909c;
  --gray-400: #90a4ae;
  --gray-300: #b0bec5;
  --gray-200: #cfd8dc;
  --gray-100: #eceff1;
  --gray-50:  #f5f7f7;
  --text-primary:   #1c2e1c;
  --text-secondary: #37474f;
  --text-muted:     #78909c;
  --text-on-green:  #ffffff;
  --text:           #1a2e1c;
  --text-dim:       #6b8f72;
  --border:          rgba(46,125,50,0.15);
  --border-hi:       rgba(46,125,50,0.4);
  --shadow-sm:       0 1px 4px rgba(0,0,0,0.06);
  --shadow-md:       0 4px 20px rgba(0,0,0,0.08), 0 1px 4px rgba(0,0,0,0.04);
  --shadow-lg:       0 12px 48px rgba(0,0,0,0.1), 0 4px 16px rgba(0,0,0,0.06);
  --shadow-green:    0 0 24px rgba(46,125,50,0.2), 0 0 8px rgba(46,125,50,0.1);
  --shadow-card:     0 2px 8px rgba(0,0,0,0.06), 0 8px 32px rgba(0,0,0,0.08);
  --item-bg:           #f9fafb;
  --item-border:       #ebebeb;
  --item-hover-border: #a5d6a7;
  --item-hover-shadow: rgba(46,125,50,0.14);
  --chip-bg:           #f1f8f1;
  --chip-border:       #c8e6c9;
  --badge-bg:          #f1f8f1;
  --badge-color:       #388e3c;
  --mark-bg:           #fff59d;
  --mark-color:        inherit;
  --input-bg:          #f5f6f8;
  --input-border:      #e0e0e0;
  --input-focus-border:#43a047;
  --input-focus-shadow:rgba(67,160,71,0.14);
  --divider:           #f0f0f0;
  --toggle-bg:         #ededf0;
  --toggle-color:      #555;
  --kbd-bg:            rgba(255,255,255,0.85);
  --kbd-border:        #d0d0d0;
  --scrollbar-thumb:   #c8e6c9;
  --font:      -apple-system, BlinkMacSystemFont, "Segoe UI", "Inter", Roboto, Arial, sans-serif;
  --font-mono: "SF Mono", "Fira Code", "Consolas", monospace;
  --radius-sm: 8px;
  --radius-md: 14px;
  --radius-lg: 20px;
  --radius-xl: 28px;
  --tr:        0.22s ease;
  --tr-fast:   0.15s ease;
  --danger:     #c62828;
  --danger-bg:  #ffebee;
  --warning:    #e65100;
  --warning-bg: #fff3e0;
  --ok-bg:      #f1f8f1;
  --ok-color:   #2e7d32;
}
/* ── DARK THEME ───────────────────────────────────── */
[data-theme="dark"] {
  --bg:              #070d09;
  --bg-deep:         #050809;
  --bg2:             #0c1f10;
  --surface:         rgba(12,20,14,0.95);
  --surface2:        #0c140e;
  --surface-solid:   #0c140e;
  --surface-2:       rgba(12,20,14,0.9);
  --green-100:       #071209;
  --green-glow:      rgba(0,230,118,0.12);
  --green-border:    rgba(0,200,83,0.25);
  --green-border-soft:rgba(0,200,83,0.10);
  --green:           #00e676;
  --green-bright:    #43ea7a;
  --card-bg:         #0c140e;
  --card-border:     rgba(0,230,118,0.1);
  --header-bg:       rgba(7,13,9,0.88);
  --scan-color:      rgba(0,230,118,0.04);
  --shadow:          rgba(0,0,0,0.5);
  --border-hi:       rgba(0,230,118,0.3);
  --text:            #e2f0e4;
  --text-dim:        #3d5c42;
  --text-primary:    #e2f0e4;
  --text-secondary:  #7a9e7e;
  --text-muted:      #3d5c42;
  --border:          rgba(0,230,118,0.07);
  --item-bg:         #0c140e;
  --item-border:     #132016;
  --item-hover-border:#66bb6a;
  --item-hover-shadow:rgba(0,230,118,0.14);
  --chip-bg:         #0c1f10;
  --chip-border:     #1a3820;
  --badge-bg:        #0c1f10;
  --badge-color:     #66bb6a;
  --mark-bg:         rgba(255,245,0,0.20);
  --mark-color:      #fff59d;
  --input-bg:        #0c140e;
  --input-border:    #1a3820;
  --input-focus-border:#00e676;
  --input-focus-shadow:rgba(0,230,118,0.16);
  --divider:         #132016;
  --toggle-bg:       #132016;
  --toggle-color:    #5a8c5e;
  --kbd-bg:          rgba(0,230,118,0.07);
  --kbd-border:      #1a3820;
  --scrollbar-thumb: #1a3820;
  --gray-50:         #070d09;
  --gray-100:        #0c140e;
  --gray-200:        #132016;
  --gray-300:        #1a3820;
  --shadow-card:     0 2px 8px rgba(0,0,0,0.5), 0 8px 32px rgba(0,0,0,0.6);
  --shadow-green:    0 0 32px rgba(0,230,118,0.18), 0 0 10px rgba(0,230,118,0.08);
  --danger:          #ef5350;
  --danger-bg:       #1c0a0a;
  --warning:         #ffa726;
  --warning-bg:      #1c1000;
  --ok-bg:           #0c1f10;
  --ok-color:        #66bb6a;
}
&lt;/style&gt;</t>
  </si>
  <si>
    <t>&lt;style&gt;
/* ═══════════════════════════════════════════════════
   VALIDADE — LAYOUT
   ═══════════════════════════════════════════════════ */
.summary-grid { display: grid; grid-template-columns: repeat(3, 1fr); gap: 14px; margin-bottom: 20px; }
.summary-card {
  background: var(--surface); border: 1px solid var(--border);
  border-radius: var(--radius-md); padding: 18px 20px;
  backdrop-filter: blur(10px); box-shadow: var(--shadow-sm);
}
.summary-value { font-size: 28px; font-weight: 800; color: var(--text-primary); letter-spacing: -1px; }
.summary-label { font-size: 12px; color: var(--text-muted); margin-top: 4px; }
.summary-card.attention .summary-value { color: var(--warning); }
.summary-card.critical  .summary-value { color: var(--danger); }
.filtros-bar { display: flex; flex-wrap: wrap; gap: 10px; margin-bottom: 16px; align-items: center; }
.filtros-bar input, .filtros-bar select {
  height: 38px; border: 1.5px solid var(--input-border); border-radius: var(--radius-sm);
  background: var(--surface-solid); color: var(--text-primary); font-size: 13px;
  padding: 0 12px; outline: none; font-family: var(--font); transition: border-color 0.2s, box-shadow 0.2s;
}
.filtros-bar input { flex: 1; min-width: 200px; }
.filtros-bar input:focus, .filtros-bar select:focus {
  border-color: var(--green-500); box-shadow: 0 0 0 2px var(--green-glow);
}
.refresh-btn {
  display: flex; align-items: center; gap: 6px; height: 38px; padding: 0 16px;
  border-radius: var(--radius-sm); border: 1.5px solid var(--border);
  background: var(--surface-solid); color: var(--text-secondary); font-size: 13px;
  cursor: pointer; transition: all var(--tr-fast); font-family: var(--font);
}
.refresh-btn:hover { border-color: var(--green-border); color: var(--green-700); background: var(--green-100); }
.refresh-btn svg { width: 14px; height: 14px; fill: none; stroke: currentColor; stroke-width: 2; stroke-linecap: round; stroke-linejoin: round; }
.val-count-bar { font-size: 12px; color: var(--text-muted); margin-bottom: 12px; }
.val-count-bar strong { color: var(--text-primary); }
.val-grid { display: grid; grid-template-columns: repeat(auto-fill, minmax(300px, 1fr)); gap: 12px; }
.val-card {
  background: var(--surface); border: 1.5px solid var(--border);
  border-radius: var(--radius-md); padding: 16px 18px;
  transition: border-color .17s, box-shadow .17s, transform .17s;
  animation: slideIn .26s ease both;
}
.val-card:hover { border-color: var(--item-hover-border); box-shadow: 0 6px 22px var(--item-hover-shadow); transform: translateY(-2px); }
.val-card.danger  { border-left: 3px solid var(--danger); }
.val-card.warning { border-left: 3px solid var(--warning); }
.val-card.caution { border-left: 3px solid #fdd835; }
.val-card.ok      { border-left: 3px solid var(--green-400); }
.val-card-header { display: flex; align-items: flex-start; justify-content: space-between; gap: 8px; margin-bottom: 8px; }
.val-prod-name { font-size: 14px; font-weight: 700; color: var(--text-primary); flex: 1; line-height: 1.3; }
.val-dias-badge { display: inline-flex; align-items: center; padding: 3px 9px; border-radius: 8px; font-size: 11px; font-weight: 700; white-space: nowrap; flex-shrink: 0; }
.dias-ok      { background: var(--ok-bg); color: var(--ok-color); }
.dias-caution { background: #fff8e1; color: #f57f17; }
.dias-warn    { background: var(--warning-bg); color: var(--warning); }
.dias-crit    { background: var(--danger-bg); color: var(--danger); }
[data-theme="dark"] .dias-caution { background: rgba(253,216,53,.1); }
.val-date     { font-size: 13px; font-weight: 600; color: var(--text-primary); }
.val-lote-eta { font-size: 11px; color: var(--text-muted); margin-top: 2px; }
.val-badges   { display: flex; flex-wrap: wrap; gap: 5px; margin-top: 8px; }
.val-obs { font-size: 11px; color: var(--text-muted); font-style: italic; margin-top: 8px; padding-top: 8px; border-top: 1px solid var(--divider); }
.val-card.fading-out { animation: fadeOut 0.4s ease forwards; pointer-events: none; }
&lt;/style&gt;</t>
  </si>
  <si>
    <t>&lt;div id="page-home" class="page home-page active"&gt;
  &lt;!-- Perspectiva 3D (modo claro) --&gt;
  &lt;div class="home-persp-grid" aria-hidden="true"&gt;&lt;/div&gt;
  &lt;!-- Partículas de fundo --&gt;
  &lt;canvas id="homeParticles" class="home-particles" aria-hidden="true"&gt;&lt;/canvas&gt;
  &lt;!-- Linha de scan HUD --&gt;
  &lt;div class="home-scan" aria-hidden="true"&gt;&lt;/div&gt;
  &lt;!-- Cantos HUD decorativos --&gt;
  &lt;svg class="hud-corner hud-tl" viewBox="0 0 56 56" width="56" height="56" fill="none" aria-hidden="true"&gt;
    &lt;path d="M3 53 L3 3 L53 3" stroke="rgba(0,230,118,0.45)" stroke-width="1.5" stroke-linecap="round"/&gt;
    &lt;circle cx="3" cy="3" r="3" fill="rgba(0,230,118,0.8)"/&gt;
    &lt;path d="M3 18 L3 3 L18 3" stroke="rgba(0,230,118,0.9)" stroke-width="1" stroke-linecap="round"/&gt;
  &lt;/svg&gt;
  &lt;svg class="hud-corner hud-tr" viewBox="0 0 56 56" width="56" height="56" fill="none" aria-hidden="true"&gt;
    &lt;path d="M3 3 L53 3 L53 53" stroke="rgba(0,230,118,0.45)" stroke-width="1.5" stroke-linecap="round"/&gt;
    &lt;circle cx="53" cy="3" r="3" fill="rgba(0,230,118,0.8)"/&gt;
    &lt;path d="M38 3 L53 3 L53 18" stroke="rgba(0,230,118,0.9)" stroke-width="1" stroke-linecap="round"/&gt;
  &lt;/svg&gt;
  &lt;svg class="hud-corner hud-bl" viewBox="0 0 56 56" width="56" height="56" fill="none" aria-hidden="true"&gt;
    &lt;path d="M3 3 L3 53 L53 53" stroke="rgba(0,230,118,0.45)" stroke-width="1.5" stroke-linecap="round"/&gt;
    &lt;circle cx="3" cy="53" r="3" fill="rgba(0,230,118,0.8)"/&gt;
    &lt;path d="M3 38 L3 53 L18 53" stroke="rgba(0,230,118,0.9)" stroke-width="1" stroke-linecap="round"/&gt;
  &lt;/svg&gt;
  &lt;svg class="hud-corner hud-br" viewBox="0 0 56 56" width="56" height="56" fill="none" aria-hidden="true"&gt;
    &lt;path d="M53 3 L53 53 L3 53" stroke="rgba(0,230,118,0.45)" stroke-width="1.5" stroke-linecap="round"/&gt;
    &lt;circle cx="53" cy="53" r="3" fill="rgba(0,230,118,0.8)"/&gt;
    &lt;path d="M53 38 L53 53 L38 53" stroke="rgba(0,230,118,0.9)" stroke-width="1" stroke-linecap="round"/&gt;
  &lt;/svg&gt;
  &lt;!-- ══ HEADER ══════════════════════════════════════ --&gt;
  &lt;header class="home-header"&gt;
    &lt;div class="home-logo"&gt;
      &lt;div class="home-logo-icon"&gt;
        &lt;svg viewBox="0 0 24 24" width="20" height="20" fill="none" stroke="#fff" stroke-width="1.8" stroke-linecap="round" stroke-linejoin="round" aria-hidden="true"&gt;
          &lt;path d="M12 22V12"/&gt;
          &lt;path d="M12 12C12 12 7 9 6 5C5 1 12 2 12 2C12 2 19 1 18 5C17 9 12 12 12 12Z"/&gt;
        &lt;/svg&gt;
      &lt;/div&gt;
      &lt;div&gt;
        &lt;div class="home-logo-name"&gt;Essência do Brasil&lt;/div&gt;
        &lt;div class="home-logo-tag"&gt;Sistema de Gestão&lt;/div&gt;
      &lt;/div&gt;
    &lt;/div&gt;
    &lt;div class="system-status" aria-label="Status do sistema: online"&gt;
      &lt;div class="system-status-dot"&gt;&lt;/div&gt;
      Sistema Online
    &lt;/div&gt;
    &lt;div class="home-header-actions"&gt;
      &lt;button class="icon-btn" id="mobileViewToggleBtn" aria-label="Alternar visualização mobile" title="Modo mobile"&gt;
        &lt;svg viewBox="0 0 24 24" width="16" height="16" fill="none" stroke="currentColor" stroke-width="2" stroke-linecap="round" stroke-linejoin="round" aria-hidden="true"&gt;
          &lt;rect x="7" y="2" width="10" height="20" rx="2" ry="2"/&gt;
          &lt;line x1="11" y1="18" x2="13" y2="18"/&gt;
        &lt;/svg&gt;
      &lt;/button&gt;
      &lt;button class="icon-btn theme-btn" id="homeThemeBtn" aria-label="Alternar tema" title="Alternar tema (Ctrl+D)"&gt;
        &lt;svg class="theme-icon" viewBox="0 0 24 24" width="16" height="16" fill="none" stroke="currentColor" stroke-width="2" stroke-linecap="round" stroke-linejoin="round" aria-hidden="true"&gt;
          &lt;path d="M21 12.79A9 9 0 1 1 11.21 3 7 7 0 0 0 21 12.79z"/&gt;
        &lt;/svg&gt;
      &lt;/button&gt;
      &lt;button class="icon-btn shortcuts-btn" aria-label="Atalhos de teclado" title="Atalhos (?)"&gt;
        &lt;svg viewBox="0 0 24 24" width="16" height="16" fill="none" stroke="currentColor" stroke-width="2" stroke-linecap="round" stroke-linejoin="round" aria-hidden="true"&gt;
          &lt;circle cx="12" cy="12" r="9"/&gt;
          &lt;path d="M9.09 9a3 3 0 0 1 5.83 1c0 2-3 3-3 3"/&gt;
          &lt;line x1="12" y1="17" x2="12.01" y2="17"/&gt;
        &lt;/svg&gt;
      &lt;/button&gt;
    &lt;/div&gt;
  &lt;/header&gt;
  &lt;!-- ══ MAIN LAYOUT ═══════════════════════════════ --&gt;
  &lt;main class="home-hero"&gt;
    &lt;div class="home-layout"&gt;
      &lt;!-- ─ Coluna esquerda: texto e módulos ─ --&gt;
      &lt;div class="home-content-col"&gt;
        &lt;div class="home-hero-badge" role="status"&gt;
          &lt;span class="home-hero-badge-dot"&gt;&lt;/span&gt;
          SISTEMA_OPERACIONAL
        &lt;/div&gt;
        &lt;h1 class="home-title"&gt;
          Essência do&lt;br&gt;&lt;span&gt;Brasil&lt;/span&gt;
        &lt;/h1&gt;
        &lt;p class="home-subtitle"&gt;
          Plataforma integrada de gestão e controle de estoque.
          Módulos de inventário, validade e muito mais.
        &lt;/p&gt;
        &lt;div class="hero-stats" role="region" aria-label="Métricas do sistema"&gt;
          &lt;div class="hero-stat"&gt;
            &lt;div class="hero-stat-value"&gt;02&lt;/div&gt;
            &lt;div class="hero-stat-label"&gt;Módulos Ativos&lt;/div&gt;
          &lt;/div&gt;
          &lt;div class="hero-stat-divider" aria-hidden="true"&gt;&lt;/div&gt;
          &lt;div class="hero-stat"&gt;
            &lt;div class="hero-stat-value clock-val" id="heroStatClock"&gt;--:--:--&lt;/div&gt;
            &lt;div class="hero-stat-label"&gt;Horário&lt;/div&gt;
          &lt;/div&gt;
          &lt;div class="hero-stat-divider" aria-hidden="true"&gt;&lt;/div&gt;
          &lt;div class="hero-stat"&gt;
            &lt;div class="hero-stat-value"&gt;v3.1&lt;/div&gt;
            &lt;div class="hero-stat-label"&gt;Versão&lt;/div&gt;
          &lt;/div&gt;
        &lt;/div&gt;
        &lt;div class="home-nav-grid" role="navigation" aria-label="Módulos do sistema"&gt;
          &lt;!-- Módulo 01: Inventário --&gt;
          &lt;div class="nav-card" data-nav="inventario" role="button" tabindex="0" aria-label="Abrir módulo Inventário"&gt;
            &lt;div class="nav-card-scan" aria-hidden="true"&gt;&lt;/div&gt;
            &lt;div class="nav-card-status online" aria-label="Status: online"&gt;
              &lt;div class="nav-card-status-dot"&gt;&lt;/div&gt;
              ONLINE
            &lt;/div&gt;
            &lt;div class="nav-card-num"&gt;MOD_01&lt;/div&gt;
            &lt;div class="nav-card-icon" aria-hidden="true"&gt;
              &lt;svg viewBox="0 0 24 24" width="24" height="24" fill="none" stroke="currentColor" stroke-width="1.8" stroke-linecap="round" stroke-linejoin="round"&gt;
                &lt;path d="M20 7H4a2 2 0 0 0-2 2v6a2 2 0 0 0 2 2h16a2 2 0 0 0 2-2V9a2 2 0 0 0-2-2z"/&gt;
                &lt;path d="M16 7V5a2 2 0 0 0-2-2h-4a2 2 0 0 0-2 2v2"/&gt;
              &lt;/svg&gt;
            &lt;/div&gt;
            &lt;div class="nav-card-label"&gt;Módulo 01&lt;/div&gt;
            &lt;div class="nav-card-title"&gt;Inventário&lt;/div&gt;
            &lt;div class="nav-card-desc"&gt;Busque e localize produtos no estoque com precisão.&lt;/div&gt;
            &lt;div class="nav-card-arrow" aria-hidden="true"&gt;
              &lt;svg viewBox="0 0 24 24" width="14" height="14" fill="none" stroke="currentColor" stroke-width="2.5" stroke-linecap="round" stroke-linejoin="round"&gt;
                &lt;line x1="5" y1="12" x2="19" y2="12"/&gt;
                &lt;polyline points="12 5 19 12 12 19"/&gt;
              &lt;/svg&gt;
            &lt;/div&gt;
          &lt;/div&gt;
          &lt;!-- Módulo 02: Validade --&gt;
          &lt;div class="nav-card" data-nav="validade" role="button" tabindex="0" aria-label="Abrir módulo Validade"&gt;
            &lt;div class="nav-card-scan" aria-hidden="true"&gt;&lt;/div&gt;
            &lt;div class="nav-card-status online" aria-label="Status: online"&gt;
              &lt;div class="nav-card-status-dot"&gt;&lt;/div&gt;
              ONLINE
            &lt;/div&gt;
            &lt;div class="nav-card-num"&gt;MOD_02&lt;/div&gt;
            &lt;div class="nav-card-icon" aria-hidden="true"&gt;
              &lt;svg viewBox="0 0 24 24" width="24" height="24" fill="none" stroke="currentColor" stroke-width="1.8" stroke-linecap="round" stroke-linejoin="round"&gt;
                &lt;rect x="3" y="4" width="18" height="18" rx="2" ry="2"/&gt;
                &lt;line x1="16" y1="2" x2="16" y2="6"/&gt;
                &lt;line x1="8"  y1="2" x2="8"  y2="6"/&gt;
                &lt;line x1="3"  y1="10" x2="21" y2="10"/&gt;
              &lt;/svg&gt;
            &lt;/div&gt;
            &lt;div class="nav-card-label"&gt;Módulo 02&lt;/div&gt;
            &lt;div class="nav-card-title"&gt;Validade&lt;/div&gt;
            &lt;div class="nav-card-desc"&gt;Monitore datas de vencimento com alertas visuais inteligentes.&lt;/div&gt;
            &lt;div class="nav-card-arrow" aria-hidden="true"&gt;
              &lt;svg viewBox="0 0 24 24" width="14" height="14" fill="none" stroke="currentColor" stroke-width="2.5" stroke-linecap="round" stroke-linejoin="round"&gt;
                &lt;line x1="5" y1="12" x2="19" y2="12"/&gt;
                &lt;polyline points="12 5 19 12 12 19"/&gt;
              &lt;/svg&gt;
            &lt;/div&gt;
          &lt;/div&gt;
          &lt;!-- Módulo 03: Em breve --&gt;
          &lt;div class="nav-card disabled" aria-disabled="true" aria-label="Módulo Produção — em breve"&gt;
            &lt;div class="nav-card-scan" aria-hidden="true"&gt;&lt;/div&gt;
            &lt;div class="nav-card-status" aria-label="Status: em breve"&gt;
              &lt;div class="nav-card-status-dot"&gt;&lt;/div&gt;
              EM BREVE
            &lt;/div&gt;
            &lt;div class="nav-card-num"&gt;MOD_03&lt;/div&gt;
            &lt;div class="nav-card-icon" aria-hidden="true"&gt;
              &lt;svg viewBox="0 0 24 24" width="24" height="24" fill="none" stroke="currentColor" stroke-width="1.8" stroke-linecap="round" stroke-linejoin="round"&gt;
                &lt;rect x="2" y="7" width="20" height="14" rx="2"/&gt;
                &lt;path d="M16 21V5a2 2 0 0 0-2-2h-4a2 2 0 0 0-2 2v16"/&gt;
              &lt;/svg&gt;
            &lt;/div&gt;
            &lt;div class="nav-card-label"&gt;Módulo 03 &lt;span class="badge-soon"&gt;EM BREVE&lt;/span&gt;&lt;/div&gt;
            &lt;div class="nav-card-title"&gt;Produção&lt;/div&gt;
            &lt;div class="nav-card-desc"&gt;Controle de lotes, linha de produção e rastreabilidade.&lt;/div&gt;
          &lt;/div&gt;
          &lt;!-- Módulo 05: Sem Etiqueta --&gt;
          &lt;div class="nav-card" data-nav="sem-etiqueta" role="button" tabindex="0" aria-label="Abrir módulo Sem Etiqueta"&gt;
            &lt;div class="nav-card-scan" aria-hidden="true"&gt;&lt;/div&gt;
            &lt;div class="nav-card-status online" aria-label="Status: online"&gt;
              &lt;div class="nav-card-status-dot"&gt;&lt;/div&gt;
              ONLINE
            &lt;/div&gt;
            &lt;div class="nav-card-num"&gt;MOD_05&lt;/div&gt;
            &lt;div class="nav-card-icon" aria-hidden="true"&gt;
              &lt;svg viewBox="0 0 24 24" width="24" height="24" fill="none" stroke="currentColor" stroke-width="1.8" stroke-linecap="round" stroke-linejoin="round"&gt;
                &lt;path d="M20.59 13.41l-7.17 7.17a2 2 0 0 1-2.83 0L2 12V2h10l8.59 8.59a2 2 0 0 1 0 2.82z"/&gt;
                &lt;line x1="7" y1="7" x2="7.01" y2="7"/&gt;
                &lt;line x1="1" y1="1" x2="23" y2="23"/&gt;
              &lt;/svg&gt;
            &lt;/div&gt;
            &lt;div class="nav-card-label"&gt;Módulo 05&lt;/div&gt;
            &lt;div class="nav-card-title"&gt;Sem Etiqueta&lt;/div&gt;
            &lt;div class="nav-card-desc"&gt;Produtos com indisponibilidade de etiqueta registrada.&lt;/div&gt;
            &lt;div class="nav-card-arrow" aria-hidden="true"&gt;
              &lt;svg viewBox="0 0 24 24" width="14" height="14" fill="none" stroke="currentColor" stroke-width="2.5" stroke-linecap="round" stroke-linejoin="round"&gt;
                &lt;line x1="5" y1="12" x2="19" y2="12"/&gt;
                &lt;polyline points="12 5 19 12 12 19"/&gt;
              &lt;/svg&gt;
            &lt;/div&gt;
          &lt;/div&gt;
          &lt;!-- Módulo 04: Em breve --&gt;
          &lt;div class="nav-card disabled" aria-disabled="true" aria-label="Módulo Pedidos — em breve"&gt;
            &lt;div class="nav-card-scan" aria-hidden="true"&gt;&lt;/div&gt;
            &lt;div class="nav-card-status" aria-label="Status: em breve"&gt;
              &lt;div class="nav-card-status-dot"&gt;&lt;/div&gt;
              EM BREVE
            &lt;/div&gt;
            &lt;div class="nav-card-num"&gt;MOD_04&lt;/div&gt;
            &lt;div class="nav-card-icon" aria-hidden="true"&gt;
              &lt;svg viewBox="0 0 24 24" width="24" height="24" fill="none" stroke="currentColor" stroke-width="1.8" stroke-linecap="round" stroke-linejoin="round"&gt;
                &lt;circle cx="9"  cy="21" r="1"/&gt;
                &lt;circle cx="20" cy="21" r="1"/&gt;
                &lt;path d="M1 1h4l2.68 13.39a2 2 0 0 0 2 1.61h9.72a2 2 0 0 0 2-1.61L23 6H6"/&gt;
              &lt;/svg&gt;
            &lt;/div&gt;
            &lt;div class="nav-card-label"&gt;Módulo 04 &lt;span class="badge-soon"&gt;EM BREVE&lt;/span&gt;&lt;/div&gt;
            &lt;div class="nav-card-title"&gt;Pedidos&lt;/div&gt;
            &lt;div class="nav-card-desc"&gt;Gestão completa de pedidos, entregas e clientes.&lt;/div&gt;
          &lt;/div&gt;
        &lt;/div&gt;
      &lt;/div&gt;
      &lt;!-- ─ Coluna direita: lupa 3D ─ --&gt;
      &lt;div class="home-lupa-col" aria-hidden="true"&gt;
        &lt;div class="lupa-scene"&gt;
          &lt;div class="lupa-halo" id="lupaHalo"&gt;&lt;/div&gt;
          &lt;canvas class="lupa-canvas" id="lupaCanvas" width="320" height="320"&gt;&lt;/canvas&gt;
          &lt;div class="lupa-3d" id="lupa3d"&gt;
            &lt;div class="lupa-rings" aria-hidden="true"&gt;
              &lt;div class="lupa-ring-orbit lupa-ring-orbit--1"&gt;&lt;/div&gt;
              &lt;div class="lupa-ring-orbit lupa-ring-orbit--2"&gt;&lt;/div&gt;
            &lt;/div&gt;
            &lt;div class="lupa-scan-line" aria-hidden="true"&gt;&lt;/div&gt;
            &lt;div class="lupa-data-points" aria-hidden="true"&gt;
              &lt;span class="lupa-dp lupa-dp--1"&gt;12ms&lt;/span&gt;
              &lt;span class="lupa-dp lupa-dp--2"&gt;OK&lt;/span&gt;
              &lt;span class="lupa-dp lupa-dp--3"&gt;v3.1&lt;/span&gt;
            &lt;/div&gt;
            &lt;div class="lupa-ring-el"&gt;
              &lt;div class="lupa-lens"&gt;
                &lt;div class="lupa-shine-a"&gt;&lt;/div&gt;
                &lt;div class="lupa-shine-b"&gt;&lt;/div&gt;
                &lt;div class="lupa-grid-lens"&gt;&lt;/div&gt;
              &lt;/div&gt;
            &lt;/div&gt;
            &lt;div class="lupa-handle-el"&gt;&lt;/div&gt;
          &lt;/div&gt;
        &lt;/div&gt;
      &lt;/div&gt;
    &lt;/div&gt;
  &lt;/main&gt;
  &lt;!-- ══ FOOTER ══════════════════════════════════════ --&gt;
  &lt;footer class="home-footer"&gt;
    &lt;span&gt;Essência do Brasil&lt;/span&gt;
    &lt;div class="home-footer-dot" aria-hidden="true"&gt;&lt;/div&gt;
    &lt;span class="home-footer-version"&gt;v3.1&lt;/span&gt;
    &lt;div class="home-footer-dot" aria-hidden="true"&gt;&lt;/div&gt;
    &lt;span id="homeDateTime" aria-live="polite"&gt;&lt;/span&gt;
  &lt;/footer&gt;
&lt;/div&gt;</t>
  </si>
  <si>
    <t>&lt;!DOCTYPE html&gt;
&lt;html lang="pt-BR" data-theme="light"&gt;
&lt;head&gt;
  &lt;meta charset="UTF-8"&gt;
  &lt;meta name="viewport" content="width=device-width, initial-scale=1.0, maximum-scale=1.0"&gt;
  &lt;base target="_top"&gt;
  &lt;title&gt;Essência do Brasil&lt;/title&gt;
  &lt;?!= include('estilos-tokens') ?&gt;
  &lt;?!= include('estilos-base') ?&gt;
  &lt;?!= include('estilos-components') ?&gt;
  &lt;?!= include('estilos-home') ?&gt;
  &lt;?!= include('estilos-inventario') ?&gt;
  &lt;?!= include('estilos-validade') ?&gt;
  &lt;?!= include('estilos-layout') ?&gt;
  &lt;?!= include('estilos-email') ?&gt;
&lt;/head&gt;
&lt;body&gt;
  &lt;div id="app"&gt;
    &lt;?!= include('home') ?&gt;
    &lt;?!= include('page-inventario') ?&gt;
    &lt;?!= include('page-validade') ?&gt;
    &lt;?!= include('page-sem-etiqueta') ?&gt;
  &lt;/div&gt;
  &lt;div class="toast-wrap" id="toastWrap"&gt;&lt;/div&gt;
  &lt;canvas id="confetti"&gt;&lt;/canvas&gt;
  &lt;button class="scroll-top" id="scrollTop" aria-label="Voltar ao topo"&gt;
    &lt;svg viewBox="0 0 24 24" width="16" height="16" fill="none" stroke="#fff" stroke-width="2.5" stroke-linecap="round" stroke-linejoin="round"&gt;
      &lt;polyline points="18 15 12 9 6 15"/&gt;
    &lt;/svg&gt;
  &lt;/button&gt;
  &lt;!-- Shortcuts overlay --&gt;
  &lt;div class="ov-bg" id="shortcutsOverlay" role="dialog" aria-modal="true" aria-label="Atalhos de teclado"&gt;
    &lt;div class="ov-card"&gt;
      &lt;div class="ov-title"&gt;
        Atalhos de teclado
        &lt;button class="ov-close" id="overlayClose" aria-label="Fechar"&gt;
          &lt;svg viewBox="0 0 24 24" width="16" height="16" fill="none" stroke="currentColor" stroke-width="2" stroke-linecap="round"&gt;
            &lt;line x1="18" y1="6" x2="6" y2="18"/&gt;&lt;line x1="6" y1="6" x2="18" y2="18"/&gt;
          &lt;/svg&gt;
        &lt;/button&gt;
      &lt;/div&gt;
      &lt;div class="sh-row"&gt;&lt;span&gt;Ir para Home&lt;/span&gt;&lt;span&gt;&lt;span class="kbd"&gt;H&lt;/span&gt;&lt;/span&gt;&lt;/div&gt;
      &lt;div class="sh-row"&gt;&lt;span&gt;Ir para Inventário&lt;/span&gt;&lt;span&gt;&lt;span class="kbd"&gt;1&lt;/span&gt;&lt;/span&gt;&lt;/div&gt;
      &lt;div class="sh-row"&gt;&lt;span&gt;Ir para Validade&lt;/span&gt;&lt;span&gt;&lt;span class="kbd"&gt;2&lt;/span&gt;&lt;/span&gt;&lt;/div&gt;
      &lt;div class="sh-row"&gt;&lt;span&gt;Ir para Sem Etiqueta&lt;/span&gt;&lt;span&gt;&lt;span class="kbd"&gt;3&lt;/span&gt;&lt;/span&gt;&lt;/div&gt;
      &lt;div class="sh-row"&gt;&lt;span&gt;Focar busca&lt;/span&gt;&lt;span&gt;&lt;span class="kbd"&gt;/&lt;/span&gt;&lt;/span&gt;&lt;/div&gt;
      &lt;div class="sh-row"&gt;&lt;span&gt;Aceitar sugestão&lt;/span&gt;&lt;span&gt;&lt;span class="kbd"&gt;Tab&lt;/span&gt;&lt;/span&gt;&lt;/div&gt;
      &lt;div class="sh-row"&gt;&lt;span&gt;Navegar resultados&lt;/span&gt;&lt;span&gt;&lt;span class="kbd"&gt;↑&lt;/span&gt; &lt;span class="kbd"&gt;↓&lt;/span&gt;&lt;/span&gt;&lt;/div&gt;
      &lt;div class="sh-row"&gt;&lt;span&gt;Copiar item focado&lt;/span&gt;&lt;span&gt;&lt;span class="kbd"&gt;Enter&lt;/span&gt;&lt;/span&gt;&lt;/div&gt;
      &lt;div class="sh-row"&gt;&lt;span&gt;Exportar CSV&lt;/span&gt;&lt;span&gt;&lt;span class="kbd"&gt;Ctrl&lt;/span&gt; &lt;span class="kbd"&gt;E&lt;/span&gt;&lt;/span&gt;&lt;/div&gt;
      &lt;div class="sh-row"&gt;&lt;span&gt;Alternar tema&lt;/span&gt;&lt;span&gt;&lt;span class="kbd"&gt;Ctrl&lt;/span&gt; &lt;span class="kbd"&gt;D&lt;/span&gt;&lt;/span&gt;&lt;/div&gt;
      &lt;div class="sh-row"&gt;&lt;span&gt;Fechar / limpar&lt;/span&gt;&lt;span&gt;&lt;span class="kbd"&gt;Esc&lt;/span&gt;&lt;/span&gt;&lt;/div&gt;
      &lt;div class="sh-row"&gt;&lt;span&gt;Abrir atalhos&lt;/span&gt;&lt;span&gt;&lt;span class="kbd"&gt;?&lt;/span&gt;&lt;/span&gt;&lt;/div&gt;
    &lt;/div&gt;
  &lt;/div&gt;
  &lt;!-- Mobile bottom navigation --&gt;
  &lt;nav class="mob-nav-bar" id="mobNavBar" aria-label="Navegação principal mobile"&gt;
    &lt;button class="mob-nav-item active" data-nav="home" aria-label="Home"&gt;
      &lt;svg viewBox="0 0 24 24"&gt;
        &lt;path d="M3 9l9-7 9 7v11a2 2 0 0 1-2 2H5a2 2 0 0 1-2-2z"/&gt;
        &lt;polyline points="9 22 9 12 15 12 15 22"/&gt;
      &lt;/svg&gt;
      &lt;span&gt;Home&lt;/span&gt;
    &lt;/button&gt;
    &lt;button class="mob-nav-item" data-nav="inventario" aria-label="Inventário"&gt;
      &lt;svg viewBox="0 0 24 24"&gt;
        &lt;path d="M20 7H4a2 2 0 0 0-2 2v6a2 2 0 0 0 2 2h16a2 2 0 0 0 2-2V9a2 2 0 0 0-2-2z"/&gt;
        &lt;path d="M16 7V5a2 2 0 0 0-2-2h-4a2 2 0 0 0-2 2v2"/&gt;
      &lt;/svg&gt;
      &lt;span&gt;Inventário&lt;/span&gt;
    &lt;/button&gt;
    &lt;button class="mob-nav-item" data-nav="validade" aria-label="Validade"&gt;
      &lt;svg viewBox="0 0 24 24"&gt;
        &lt;rect x="3" y="4" width="18" height="18" rx="2" ry="2"/&gt;
        &lt;line x1="16" y1="2" x2="16" y2="6"/&gt;
        &lt;line x1="8" y1="2" x2="8" y2="6"/&gt;
        &lt;line x1="3" y1="10" x2="21" y2="10"/&gt;
      &lt;/svg&gt;
      &lt;span&gt;Validade&lt;/span&gt;
    &lt;/button&gt;
    &lt;button class="mob-nav-item" data-nav="sem-etiqueta" aria-label="Sem Etiqueta"&gt;
      &lt;svg viewBox="0 0 24 24" fill="none" stroke="currentColor" stroke-width="2" stroke-linecap="round" stroke-linejoin="round"&gt;
        &lt;path d="M20.59 13.41l-7.17 7.17a2 2 0 0 1-2.83 0L2 12V2h10l8.59 8.59a2 2 0 0 1 0 2.82z"/&gt;
        &lt;line x1="7" y1="7" x2="7.01" y2="7"/&gt;
        &lt;line x1="1" y1="1" x2="23" y2="23"/&gt;
      &lt;/svg&gt;
      &lt;span&gt;S/ Etiq.&lt;/span&gt;
    &lt;/button&gt;
  &lt;/nav&gt;
  &lt;?!= include('scripts') ?&gt;
&lt;/body&gt;
&lt;/html&gt;</t>
  </si>
  <si>
    <t>&lt;div id="page-inventario" class="page"&gt;
  &lt;!-- Header interno --&gt;
  &lt;header class="page-header"&gt;
    &lt;button class="back-btn" id="backFromInventario" aria-label="Voltar para Home"&gt;
      &lt;svg viewBox="0 0 24 24" width="14" height="14" fill="none" stroke="currentColor" stroke-width="2.5" stroke-linecap="round" stroke-linejoin="round"&gt;
        &lt;polyline points="15 18 9 12 15 6"/&gt;
      &lt;/svg&gt;
      Home
    &lt;/button&gt;
    &lt;div&gt;
      &lt;div class="page-title"&gt;Inventário&lt;/div&gt;
      &lt;div class="page-subtitle"&gt;Busca de produtos no estoque&lt;/div&gt;
    &lt;/div&gt;
    &lt;div class="page-header-right"&gt;
      &lt;span class="session-stats" id="sessionStats"&gt;&lt;/span&gt;
      &lt;button class="icon-btn" id="emailReportBtn"
              aria-label="Enviar relatório por e-mail"
              title="Relatório por e-mail"&gt;
        &lt;svg viewBox="0 0 24 24" width="16" height="16" fill="none"
             stroke="currentColor" stroke-width="2"
             stroke-linecap="round" stroke-linejoin="round"&gt;
          &lt;path d="M4 4h16c1.1 0 2 .9 2 2v12c0 1.1-.9 2-2 2H4c-1.1 0-2-.9-2-2V6c0-1.1.9-2 2-2z"/&gt;
          &lt;polyline points="22,6 12,13 2,6"/&gt;
        &lt;/svg&gt;
      &lt;/button&gt;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&lt;div class="main-card"&gt;
      &lt;!-- Busca --&gt;
      &lt;div class="search-area"&gt;
        &lt;div class="search-wrapper"&gt;
          &lt;svg class="search-icon" id="searchIcon" viewBox="0 0 24 24" fill="none" stroke="currentColor" stroke-width="2" stroke-linecap="round" stroke-linejoin="round"&gt;
            &lt;circle cx="11" cy="11" r="7"/&gt;&lt;line x1="21" y1="21" x2="16.65" y2="16.65"/&gt;
          &lt;/svg&gt;
          &lt;span class="ghost-suggestion" id="ghostSuggestion" aria-hidden="true"&gt;&lt;/span&gt;
          &lt;input
            class="search-box" id="searchBox"
            type="search"
            placeholder="Ex: mirra + roll on"
            autocomplete="off" autocorrect="off" spellcheck="false"
            aria-label="Campo de busca"
          &gt;
          &lt;button class="clear-btn" id="clearBtn" aria-label="Limpar busca"&gt;
            &lt;svg viewBox="0 0 24 24" width="12" height="12" fill="none" stroke="currentColor" stroke-width="2.5" stroke-linecap="round"&gt;
              &lt;line x1="18" y1="6" x2="6" y2="18"/&gt;&lt;line x1="6" y1="6" x2="18" y2="18"/&gt;
            &lt;/svg&gt;
          &lt;/button&gt;
        &lt;/div&gt;
        &lt;div class="ghost-hint" id="ghostHint"&gt;&lt;/div&gt;
        &lt;div class="term-pills-wrap" id="termPillsWrap"&gt;
          &lt;div class="term-pills-inner" id="termPills"&gt;&lt;/div&gt;
        &lt;/div&gt;
        &lt;div class="recents-wrap" id="recentsWrap" style="display:none"&gt;
          &lt;div class="recents-header"&gt;
            &lt;span class="recents-label"&gt;Recentes&lt;/span&gt;
            &lt;button class="clear-all-btn" id="clearAllBtn"&gt;Limpar tudo&lt;/button&gt;
          &lt;/div&gt;
          &lt;div class="recents" id="recentsList"&gt;&lt;/div&gt;
        &lt;/div&gt;
      &lt;/div&gt;
      &lt;!-- Resultados --&gt;
      &lt;div class="results-area"&gt;
        &lt;div class="toolbar" id="toolbar"&gt;
          &lt;div class="toolbar-left"&gt;
            &lt;span class="loading" id="loadingIndicator"&gt;
              &lt;span class="spinner"&gt;&lt;/span&gt; Buscando…
            &lt;/span&gt;
            &lt;span class="result-count" id="resultCount"&gt;&lt;/span&gt;
            &lt;span class="resp-time" id="respTime"&gt;&lt;/span&gt;
          &lt;/div&gt;
          &lt;div class="toolbar-right"&gt;
            &lt;select class="toolbar-sort" id="sortSelect"&gt;
              &lt;option value="default"&gt;Padrão&lt;/option&gt;
              &lt;option value="name-az"&gt;Nome A→Z&lt;/option&gt;
              &lt;option value="name-za"&gt;Nome Z→A&lt;/option&gt;
              &lt;option value="box-az"&gt;Caixa A→Z&lt;/option&gt;
            &lt;/select&gt;
            &lt;div class="view-toggles"&gt;
              &lt;button class="view-btn" id="viewList" title="Lista"&gt;
                &lt;svg viewBox="0 0 24 24"&gt;&lt;line x1="8" y1="6" x2="21" y2="6"/&gt;&lt;line x1="8" y1="12" x2="21" y2="12"/&gt;&lt;line x1="8" y1="18" x2="21" y2="18"/&gt;&lt;circle cx="3.5" cy="6" r="1.5" fill="currentColor" stroke="none"/&gt;&lt;circle cx="3.5" cy="12" r="1.5" fill="currentColor" stroke="none"/&gt;&lt;circle cx="3.5" cy="18" r="1.5" fill="currentColor" stroke="none"/&gt;&lt;/svg&gt;
              &lt;/button&gt;
              &lt;button class="view-btn" id="viewGrid" title="Grade"&gt;
                &lt;svg viewBox="0 0 24 24"&gt;&lt;rect x="3" y="3" width="7" height="7" rx="1"/&gt;&lt;rect x="14" y="3" width="7" height="7" rx="1"/&gt;&lt;rect x="3" y="14" width="7" height="7" rx="1"/&gt;&lt;rect x="14" y="14" width="7" height="7" rx="1"/&gt;&lt;/svg&gt;
              &lt;/button&gt;
              &lt;button class="view-btn" id="viewGroup" title="Agrupar por caixa"&gt;
                &lt;svg viewBox="0 0 24 24"&gt;&lt;rect x="3" y="3" width="18" height="5" rx="1"/&gt;&lt;rect x="3" y="10" width="18" height="5" rx="1"/&gt;&lt;rect x="3" y="17" width="18" height="5" rx="1"/&gt;&lt;/svg&gt;
              &lt;/button&gt;
            &lt;/div&gt;
            &lt;button class="small-btn" id="shareBtn" title="Compartilhar URL"&gt;
              &lt;svg viewBox="0 0 24 24"&gt;&lt;circle cx="18" cy="5" r="2"/&gt;&lt;circle cx="6" cy="12" r="2"/&gt;&lt;circle cx="18" cy="19" r="2"/&gt;&lt;line x1="8.59" y1="13.51" x2="15.42" y2="17.49"/&gt;&lt;line x1="15.41" y1="6.51" x2="8.59" y2="10.49"/&gt;&lt;/svg&gt;
              Compartilhar
            &lt;/button&gt;
            &lt;button class="small-btn" id="exportBtn" title="Exportar CSV (Ctrl+E)"&gt;
              &lt;svg viewBox="0 0 24 24"&gt;&lt;path d="M21 15v4a2 2 0 0 1-2 2H5a2 2 0 0 1-2-2v-4"/&gt;&lt;polyline points="7 10 12 15 17 10"/&gt;&lt;line x1="12" y1="15" x2="12" y2="3"/&gt;&lt;/svg&gt;
              CSV
            &lt;/button&gt;
            &lt;button class="small-btn" id="printBtn" title="Imprimir"&gt;
              &lt;svg viewBox="0 0 24 24"&gt;&lt;polyline points="6 9 6 2 18 2 18 9"/&gt;&lt;path d="M6 18H4a2 2 0 0 1-2-2v-5a2 2 0 0 1 2-2h16a2 2 0 0 1 2 2v5a2 2 0 0 1-2 2h-2"/&gt;&lt;rect x="6" y="14" width="12" height="8"/&gt;&lt;/svg&gt;
              Imprimir
            &lt;/button&gt;
          &lt;/div&gt;
        &lt;/div&gt;
        &lt;div id="content"&gt;&lt;/div&gt;
      &lt;/div&gt;
    &lt;/div&gt;
  &lt;/div&gt;
  &lt;!-- Email drawer (multi-recipient + saved contacts + preview) --&gt;
  &lt;div class="email-overlay" id="emailOverlay"
       role="dialog" aria-modal="true"
       aria-label="Enviar relatório por e-mail"
       style="display:none"&gt;
    &lt;div class="email-drawer"&gt;
      &lt;!-- STEP: compose --&gt;
      &lt;div id="invComposeStep"&gt;
        &lt;div class="email-drawer-hdr"&gt;
          &lt;div&gt;
            &lt;div class="email-drawer-title"&gt;Relatório de Inativos&lt;/div&gt;
            &lt;div class="email-drawer-sub"&gt;Lista todos os produtos marcados como inativos&lt;/div&gt;
          &lt;/div&gt;
          &lt;button class="icon-btn email-drawer-close-btn"
                  id="emailDrawerClose" aria-label="Fechar"&gt;
            &lt;svg viewBox="0 0 24 24" width="16" height="16" fill="none"
                 stroke="currentColor" stroke-width="2.5" stroke-linecap="round"&gt;
              &lt;line x1="18" y1="6" x2="6" y2="18"/&gt;
              &lt;line x1="6" y1="6" x2="18" y2="18"/&gt;
            &lt;/svg&gt;
          &lt;/button&gt;
        &lt;/div&gt;
        &lt;div class="email-drawer-body"&gt;
          &lt;label class="email-field-lbl"&gt;E-mails de destino (até 5)&lt;/label&gt;
          &lt;div class="email-tags-wrap" id="invEmailTagsWrap"&gt;
            &lt;div class="email-tags-inner" id="invEmailTagsInner"&gt;&lt;/div&gt;
            &lt;input class="email-tags-input" id="reportEmailInput" type="email" placeholder="email@exemplo.com"&gt;
          &lt;/div&gt;
          &lt;div class="saved-contacts-section" id="invSavedSection"&gt;
            &lt;div class="saved-contacts-hdr"&gt;
              &lt;span class="saved-contacts-lbl"&gt;Contatos salvos&lt;/span&gt;
            &lt;/div&gt;
            &lt;div class="saved-contacts-list" id="invSavedList"&gt;&lt;/div&gt;
            &lt;button class="save-current-link" id="invSaveCurrentBtn" type="button"&gt;Salvar atual&lt;/button&gt;
          &lt;/div&gt;
        &lt;/div&gt;
        &lt;div class="email-drawer-footer"&gt;
          &lt;button class="email-send-btn" id="emailSendBtn"&gt;
            &lt;svg viewBox="0 0 24 24" width="14" height="14" fill="none"
                 stroke="currentColor" stroke-width="2.5"
                 stroke-linecap="round" stroke-linejoin="round"&gt;
              &lt;line x1="22" y1="2" x2="11" y2="13"/&gt;
              &lt;polygon points="22 2 15 22 11 13 2 9 22 2"/&gt;
            &lt;/svg&gt;
            Enviar relatório
          &lt;/button&gt;
        &lt;/div&gt;
      &lt;/div&gt;
      &lt;!-- STEP: preview --&gt;
      &lt;div id="invPreviewStep" style="display:none"&gt;
        &lt;div class="email-drawer-hdr"&gt;
          &lt;div&gt;
            &lt;div class="email-drawer-title"&gt;Confirmar Envio&lt;/div&gt;
            &lt;div class="email-drawer-sub"&gt;Revise antes de enviar&lt;/div&gt;
          &lt;/div&gt;
          &lt;button class="icon-btn email-drawer-close-btn"
                  id="emailDrawerClosePreview" aria-label="Fechar"&gt;
            &lt;svg viewBox="0 0 24 24" width="16" height="16" fill="none"
                 stroke="currentColor" stroke-width="2.5" stroke-linecap="round"&gt;
              &lt;line x1="18" y1="6" x2="6" y2="18"/&gt;
              &lt;line x1="6" y1="6" x2="18" y2="18"/&gt;
            &lt;/svg&gt;
          &lt;/button&gt;
        &lt;/div&gt;
        &lt;div class="email-drawer-body"&gt;
          &lt;div class="email-preview-box" id="invPreviewBox"&gt;&lt;/div&gt;
        &lt;/div&gt;
        &lt;div class="email-drawer-footer"&gt;
          &lt;button class="email-confirm-btn" id="invConfirmBtn"&gt;
            &lt;svg viewBox="0 0 24 24" width="14" height="14" fill="none"
                 stroke="currentColor" stroke-width="2.5"
                 stroke-linecap="round" stroke-linejoin="round"&gt;
              &lt;line x1="22" y1="2" x2="11" y2="13"/&gt;
              &lt;polygon points="22 2 15 22 11 13 2 9 22 2"/&gt;
            &lt;/svg&gt;
            Confirmar envio
          &lt;/button&gt;
          &lt;button class="email-back-btn" id="invBackBtn"&gt;Voltar&lt;/button&gt;
        &lt;/div&gt;
      &lt;/div&gt;
    &lt;/div&gt;
  &lt;/div&gt;
&lt;/div&gt;</t>
  </si>
  <si>
    <t>&lt;div id="page-sem-etiqueta" class="page"&gt;
  &lt;!-- Header interno --&gt;
  &lt;header class="page-header"&gt;
    &lt;button class="back-btn" id="backFromSemEtiqueta" aria-label="Voltar para Home"&gt;
      &lt;svg viewBox="0 0 24 24" width="14" height="14" fill="none" stroke="currentColor" stroke-width="2.5" stroke-linecap="round" stroke-linejoin="round"&gt;
        &lt;polyline points="15 18 9 12 15 6"/&gt;
      &lt;/svg&gt;
      Home
    &lt;/button&gt;
    &lt;div&gt;
      &lt;div class="page-title"&gt;Sem Etiqueta&lt;/div&gt;
      &lt;div class="page-subtitle"&gt;Produtos com indisponibilidade de etiqueta&lt;/div&gt;
    &lt;/div&gt;
    &lt;div class="page-header-right"&gt;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&lt;div class="main-card"&gt;
      &lt;!-- Busca + toolbar --&gt;
      &lt;div class="search-area" style="padding: 20px 24px 16px;"&gt;
        &lt;div class="search-wrapper"&gt;
          &lt;svg class="search-icon" viewBox="0 0 24 24" fill="none" stroke="currentColor" stroke-width="2" stroke-linecap="round" stroke-linejoin="round"&gt;
            &lt;circle cx="11" cy="11" r="7"/&gt;&lt;line x1="21" y1="21" x2="16.65" y2="16.65"/&gt;
          &lt;/svg&gt;
          &lt;input
            class="search-box" id="se-search"
            type="search"
            placeholder="Buscar produto…"
            autocomplete="off" autocorrect="off" spellcheck="false"
            aria-label="Buscar produto sem etiqueta"
          &gt;
        &lt;/div&gt;
      &lt;/div&gt;
      &lt;!-- Toolbar count + refresh --&gt;
      &lt;div class="results-area" style="padding: 0 24px 24px;"&gt;
        &lt;div class="toolbar visible" id="se-toolbar" style="max-height:60px;opacity:1;margin-bottom:14px;margin-top:14px;"&gt;
          &lt;div class="toolbar-left"&gt;
            &lt;span class="loading" id="se-loading"&gt;
              &lt;span class="spinner"&gt;&lt;/span&gt; Carregando…
            &lt;/span&gt;
            &lt;span class="result-count" id="se-count"&gt;&lt;/span&gt;
          &lt;/div&gt;
          &lt;div class="toolbar-right"&gt;
            &lt;button class="small-btn" id="se-refresh" title="Atualizar lista"&gt;
              &lt;svg viewBox="0 0 24 24"&gt;&lt;polyline points="1 4 1 10 7 10"/&gt;&lt;path d="M3.51 15a9 9 0 1 0 .49-3.25"/&gt;&lt;/svg&gt;
              &lt;span&gt;Atualizar&lt;/span&gt;
            &lt;/button&gt;
          &lt;/div&gt;
        &lt;/div&gt;
        &lt;!-- Conteúdo (skeleton e resultados) --&gt;
        &lt;div id="se-content"&gt;&lt;/div&gt;
      &lt;/div&gt;
    &lt;/div&gt;
  &lt;/div&gt;
&lt;/div&gt;</t>
  </si>
  <si>
    <t>&lt;div id="page-validade" class="page"&gt;
  &lt;!-- Header interno --&gt;
  &lt;header class="page-header"&gt;
    &lt;button class="back-btn" id="backFromValidade" aria-label="Voltar para Home"&gt;
      &lt;svg viewBox="0 0 24 24" width="14" height="14" fill="none" stroke="currentColor" stroke-width="2.5" stroke-linecap="round" stroke-linejoin="round"&gt;
        &lt;polyline points="15 18 9 12 15 6"/&gt;
      &lt;/svg&gt;
      Home
    &lt;/button&gt;
    &lt;div&gt;
      &lt;div class="page-title"&gt;Validade&lt;/div&gt;
      &lt;div class="page-subtitle"&gt;Controle de prazos e vencimentos&lt;/div&gt;
    &lt;/div&gt;
    &lt;div class="page-header-right"&gt;
      &lt;button class="icon-btn" id="valEmailReportBtn"
              aria-label="Enviar relatório de validade por e-mail"
              title="Relatório de validade por e-mail"&gt;
        &lt;svg viewBox="0 0 24 24" width="16" height="16" fill="none"
             stroke="currentColor" stroke-width="2"
             stroke-linecap="round" stroke-linejoin="round"&gt;
          &lt;path d="M4 4h16c1.1 0 2 .9 2 2v12c0 1.1-.9 2-2 2H4c-1.1 0-2-.9-2-2V6c0-1.1.9-2 2-2z"/&gt;
          &lt;polyline points="22,6 12,13 2,6"/&gt;
        &lt;/svg&gt;
      &lt;/button&gt;
      &lt;button class="icon-btn theme-btn" aria-label="Alternar tema" title="Alternar tema (Ctrl+D)"&gt;
        &lt;svg class="theme-icon" viewBox="0 0 24 24" width="16" height="16" fill="none" stroke="currentColor" stroke-width="2" stroke-linecap="round" stroke-linejoin="round"&gt;
          &lt;path d="M21 12.79A9 9 0 1 1 11.21 3 7 7 0 0 0 21 12.79z"/&gt;
        &lt;/svg&gt;
      &lt;/button&gt;
      &lt;button class="icon-btn shortcuts-btn" aria-label="Atalhos de teclado" title="Atalhos (?)"&gt;
        &lt;svg viewBox="0 0 24 24" width="16" height="16" fill="none" stroke="currentColor" stroke-width="2" stroke-linecap="round" stroke-linejoin="round"&gt;
          &lt;circle cx="12" cy="12" r="9"/&gt;
          &lt;path d="M9.09 9a3 3 0 0 1 5.83 1c0 2-3 3-3 3"/&gt;
          &lt;line x1="12" y1="17" x2="12.01" y2="17"/&gt;
        &lt;/svg&gt;
      &lt;/button&gt;
    &lt;/div&gt;
  &lt;/header&gt;
  &lt;div class="page-content"&gt;
    &lt;!-- Summary cards --&gt;
    &lt;div class="summary-grid"&gt;
      &lt;div class="summary-card"&gt;
        &lt;div class="summary-value" id="val-total"&gt;—&lt;/div&gt;
        &lt;div class="summary-label"&gt;Total de produtos&lt;/div&gt;
      &lt;/div&gt;
      &lt;div class="summary-card attention"&gt;
        &lt;div class="summary-value" id="val-atencao"&gt;—&lt;/div&gt;
        &lt;div class="summary-label"&gt;Atenção (≤90 dias)&lt;/div&gt;
      &lt;/div&gt;
      &lt;div class="summary-card critical"&gt;
        &lt;div class="summary-value" id="val-critico"&gt;—&lt;/div&gt;
        &lt;div class="summary-label"&gt;Crítico / Vencido&lt;/div&gt;
      &lt;/div&gt;
    &lt;/div&gt;
    &lt;!-- Filtros --&gt;
    &lt;div class="filtros-bar"&gt;
      &lt;input
        type="search"
        id="val-search"
        placeholder="Buscar produto…"
        autocomplete="off"
      &gt;
      &lt;select id="val-sort"&gt;
        &lt;option value="nearest"&gt;Validade (mais próxima)&lt;/option&gt;
        &lt;option value="farthest"&gt;Validade (mais distante)&lt;/option&gt;
        &lt;option value="name"&gt;Produto A–Z&lt;/option&gt;
        &lt;option value="days"&gt;Dias restantes&lt;/option&gt;
      &lt;/select&gt;
      &lt;select id="val-filter"&gt;
        &lt;option value="all"&gt;Todos os status&lt;/option&gt;
        &lt;option value="ok"&gt;OK&lt;/option&gt;
        &lt;option value="atencao"&gt;Atenção&lt;/option&gt;
        &lt;option value="critico"&gt;Crítico&lt;/option&gt;
        &lt;option value="vencido"&gt;Vencido&lt;/option&gt;
      &lt;/select&gt;
      &lt;button class="refresh-btn" id="val-refresh"&gt;
        &lt;svg viewBox="0 0 24 24" width="14" height="14" fill="none" stroke="currentColor" stroke-width="2" stroke-linecap="round" stroke-linejoin="round"&gt;
          &lt;polyline points="1 4 1 10 7 10"/&gt;
          &lt;path d="M3.51 15a9 9 0 1 0 .49-3.25"/&gt;
        &lt;/svg&gt;
        Atualizar
      &lt;/button&gt;
      &lt;button class="small-btn" id="val-toggle-inativo" title="Ocultar/mostrar vencidos"&gt;
        &lt;svg viewBox="0 0 24 24" width="12" height="12" fill="none" stroke="currentColor" stroke-width="2" stroke-linecap="round" stroke-linejoin="round"&gt;
          &lt;path d="M17.94 17.94A10.07 10.07 0 0 1 12 20c-7 0-11-8-11-8a18.45 18.45 0 0 1 5.06-5.94"/&gt;
          &lt;path d="M9.9 4.24A9.12 9.12 0 0 1 12 4c7 0 11 8 11 8a18.5 18.5 0 0 1-2.16 3.19"/&gt;
          &lt;line x1="1" y1="1" x2="23" y2="23"/&gt;
        &lt;/svg&gt;
        &lt;span id="val-toggle-inativo-lbl"&gt;Ocultar Vencidos&lt;/span&gt;
      &lt;/button&gt;
    &lt;/div&gt;
    &lt;div class="val-count-bar" id="val-count-bar"&gt;&lt;/div&gt;
    &lt;!-- Skeleton loader --&gt;
    &lt;div id="val-skel" style="display:none" class="skel-list"&gt;
      &lt;div class="skel-item shimmer"&gt;&lt;/div&gt;
      &lt;div class="skel-item shimmer"&gt;&lt;/div&gt;
      &lt;div class="skel-item shimmer"&gt;&lt;/div&gt;
    &lt;/div&gt;
    &lt;!-- Grid de cards de validade --&gt;
    &lt;div id="val-results" class="val-grid"&gt;&lt;/div&gt;
  &lt;/div&gt;
  &lt;!-- Email drawer (multi-recipient + saved contacts + preview) --&gt;
  &lt;div class="email-overlay" id="valEmailOverlay"
       role="dialog" aria-modal="true"
       aria-label="Enviar relatório de validade por e-mail"
       style="display:none"&gt;
    &lt;div class="email-drawer"&gt;
      &lt;!-- STEP: compose --&gt;
      &lt;div id="valComposeStep"&gt;
        &lt;div class="email-drawer-hdr"&gt;
          &lt;div&gt;
            &lt;div class="email-drawer-title"&gt;Relatório de Validade&lt;/div&gt;
            &lt;div class="email-drawer-sub"&gt;Envia produtos críticos e vencidos por e-mail&lt;/div&gt;
          &lt;/div&gt;
          &lt;button class="icon-btn email-drawer-close-btn"
                  id="valEmailDrawerClose" aria-label="Fechar"&gt;
            &lt;svg viewBox="0 0 24 24" width="16" height="16" fill="none"
                 stroke="currentColor" stroke-width="2.5" stroke-linecap="round"&gt;
              &lt;line x1="18" y1="6" x2="6" y2="18"/&gt;
              &lt;line x1="6" y1="6" x2="18" y2="18"/&gt;
            &lt;/svg&gt;
          &lt;/button&gt;
        &lt;/div&gt;
        &lt;div class="email-drawer-body"&gt;
          &lt;label class="email-field-lbl"&gt;E-mails de destino (até 5)&lt;/label&gt;
          &lt;div class="email-tags-wrap" id="valEmailTagsWrap"&gt;
            &lt;div class="email-tags-inner" id="valEmailTagsInner"&gt;&lt;/div&gt;
            &lt;input class="email-tags-input" id="valReportEmailInput" type="email" placeholder="email@exemplo.com"&gt;
          &lt;/div&gt;
          &lt;div class="saved-contacts-section" id="valSavedSection"&gt;
            &lt;div class="saved-contacts-hdr"&gt;
              &lt;span class="saved-contacts-lbl"&gt;Contatos salvos&lt;/span&gt;
            &lt;/div&gt;
            &lt;div class="saved-contacts-list" id="valSavedList"&gt;&lt;/div&gt;
            &lt;button class="save-current-link" id="valSaveCurrentBtn" type="button"&gt;Salvar atual&lt;/button&gt;
          &lt;/div&gt;
        &lt;/div&gt;
        &lt;div class="email-drawer-footer"&gt;
          &lt;button class="email-send-btn" id="valEmailSendBtn"&gt;
            &lt;svg viewBox="0 0 24 24" width="14" height="14" fill="none"
                 stroke="currentColor" stroke-width="2.5"
                 stroke-linecap="round" stroke-linejoin="round"&gt;
              &lt;line x1="22" y1="2" x2="11" y2="13"/&gt;
              &lt;polygon points="22 2 15 22 11 13 2 9 22 2"/&gt;
            &lt;/svg&gt;
            Enviar relatório
          &lt;/button&gt;
        &lt;/div&gt;
      &lt;/div&gt;
      &lt;!-- STEP: preview --&gt;
      &lt;div id="valPreviewStep" style="display:none"&gt;
        &lt;div class="email-drawer-hdr"&gt;
          &lt;div&gt;
            &lt;div class="email-drawer-title"&gt;Confirmar Envio&lt;/div&gt;
            &lt;div class="email-drawer-sub"&gt;Revise antes de enviar&lt;/div&gt;
          &lt;/div&gt;
          &lt;button class="icon-btn email-drawer-close-btn"
                  id="valEmailDrawerClosePreview" aria-label="Fechar"&gt;
            &lt;svg viewBox="0 0 24 24" width="16" height="16" fill="none"
                 stroke="currentColor" stroke-width="2.5" stroke-linecap="round"&gt;
              &lt;line x1="18" y1="6" x2="6" y2="18"/&gt;
              &lt;line x1="6" y1="6" x2="18" y2="18"/&gt;
            &lt;/svg&gt;
          &lt;/button&gt;
        &lt;/div&gt;
        &lt;div class="email-drawer-body"&gt;
          &lt;div class="email-preview-box" id="valPreviewBox"&gt;&lt;/div&gt;
        &lt;/div&gt;
        &lt;div class="email-drawer-footer"&gt;
          &lt;button class="email-confirm-btn" id="valConfirmBtn"&gt;
            &lt;svg viewBox="0 0 24 24" width="14" height="14" fill="none"
                 stroke="currentColor" stroke-width="2.5"
                 stroke-linecap="round" stroke-linejoin="round"&gt;
              &lt;line x1="22" y1="2" x2="11" y2="13"/&gt;
              &lt;polygon points="22 2 15 22 11 13 2 9 22 2"/&gt;
            &lt;/svg&gt;
            Confirmar envio
          &lt;/button&gt;
          &lt;button class="email-back-btn" id="valBackBtn"&gt;Voltar&lt;/button&gt;
        &lt;/div&gt;
      &lt;/div&gt;
    &lt;/div&gt;
  &lt;/div&gt;
&lt;/div&gt;</t>
  </si>
  <si>
    <t>set CLAUDE_CODE_MAX_OUTPUT_TOKENS=64000</t>
  </si>
  <si>
    <r>
      <rPr/>
      <t xml:space="preserve">cd "C:\Users\Victor Hugo\apps-script-temp"
type </t>
    </r>
    <r>
      <rPr>
        <color rgb="FF1155CC"/>
        <u/>
      </rPr>
      <t>prompt.md</t>
    </r>
    <r>
      <rPr/>
      <t xml:space="preserve"> | claude --print
</t>
    </r>
  </si>
  <si>
    <t>irm https://ollama.com/install.ps1 | iex</t>
  </si>
  <si>
    <t>https://script.google.com/a/macros/gigaimports.com/s/AKfycbyEIQ6NwuhQ9Heu_df2qJcfY-HYr19UnIZOP7pKiZ8zs9zhX2eZ_rJnuxfGdEiNVnLjZw/exec</t>
  </si>
  <si>
    <t>Computador</t>
  </si>
  <si>
    <t>https://api.qrserver.com/v1/create-qr-code/?size=300x300&amp;data=https://script.google.com/a/macros/gigaimports.com/s/AKfycbyEIQ6NwuhQ9Heu_df2qJcfY-HYr19UnIZOP7pKiZ8zs9zhX2eZ_rJnuxfGdEiNVnLjZw/exec</t>
  </si>
  <si>
    <t>Qr Code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</si>
</sst>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mm/yyyy"/>
  </numFmts>
  <fonts count="19">
    <font>
      <sz val="10.0"/>
      <color rgb="FF000000"/>
      <name val="Arial"/>
      <scheme val="minor"/>
    </font>
    <font>
      <sz val="10.0"/>
      <color theme="1"/>
      <name val="Arial"/>
    </font>
    <font>
      <sz val="10.0"/>
      <color theme="1"/>
      <name val="Arial"/>
      <scheme val="minor"/>
    </font>
    <font>
      <sz val="11.0"/>
      <color theme="1"/>
      <name val="Arial"/>
    </font>
    <font>
      <color theme="1"/>
      <name val="Arial"/>
    </font>
    <font>
      <b/>
      <color theme="1"/>
      <name val="Arial"/>
      <scheme val="minor"/>
    </font>
    <font>
      <color theme="1"/>
      <name val="Arial"/>
      <scheme val="minor"/>
    </font>
    <font>
      <color rgb="FF808080"/>
      <name val="'Roboto Mono'"/>
    </font>
    <font>
      <u/>
      <color rgb="FF0000FF"/>
    </font>
    <font>
      <color rgb="FF383838"/>
      <name val="'Roboto Mono'"/>
    </font>
    <font>
      <color rgb="FF5F6368"/>
      <name val="'Roboto Mono'"/>
    </font>
    <font>
      <color rgb="FF3C4043"/>
      <name val="'Roboto Mono'"/>
    </font>
    <font>
      <u/>
      <color rgb="FF0000FF"/>
    </font>
    <font>
      <u/>
      <color rgb="FF0000FF"/>
    </font>
    <font>
      <color rgb="FF137333"/>
      <name val="'Roboto Mono'"/>
    </font>
    <font>
      <color rgb="FFB31412"/>
      <name val="'Roboto Mono'"/>
    </font>
    <font>
      <color rgb="FF185ABC"/>
      <name val="'Roboto Mono'"/>
    </font>
    <font>
      <color rgb="FF098591"/>
      <name val="'Roboto Mono'"/>
    </font>
    <font>
      <color rgb="FF202124"/>
      <name val="'Roboto Mono'"/>
    </font>
  </fonts>
  <fills count="11">
    <fill>
      <patternFill patternType="none"/>
    </fill>
    <fill>
      <patternFill patternType="lightGray"/>
    </fill>
    <fill>
      <patternFill patternType="solid">
        <fgColor rgb="FF00FF00"/>
        <bgColor rgb="FF00FF00"/>
      </patternFill>
    </fill>
    <fill>
      <patternFill patternType="solid">
        <fgColor rgb="FF4A86E8"/>
        <bgColor rgb="FF4A86E8"/>
      </patternFill>
    </fill>
    <fill>
      <patternFill patternType="solid">
        <fgColor rgb="FFEFEFEF"/>
        <bgColor rgb="FFEFEFEF"/>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
      <patternFill patternType="solid">
        <fgColor rgb="FF999999"/>
        <bgColor rgb="FF999999"/>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readingOrder="0" vertical="bottom"/>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0" fontId="2" numFmtId="0" xfId="0" applyFont="1"/>
    <xf borderId="0" fillId="0" fontId="3" numFmtId="0" xfId="0" applyAlignment="1" applyFont="1">
      <alignment vertical="bottom"/>
    </xf>
    <xf borderId="0" fillId="0" fontId="1" numFmtId="0" xfId="0" applyAlignment="1" applyFont="1">
      <alignment horizontal="right" readingOrder="0" vertical="bottom"/>
    </xf>
    <xf borderId="0" fillId="0" fontId="2" numFmtId="0" xfId="0" applyAlignment="1" applyFont="1">
      <alignment readingOrder="0"/>
    </xf>
    <xf borderId="0" fillId="6" fontId="2" numFmtId="0" xfId="0" applyAlignment="1" applyFill="1" applyFont="1">
      <alignment readingOrder="0"/>
    </xf>
    <xf borderId="0" fillId="7" fontId="2" numFmtId="0" xfId="0" applyAlignment="1" applyFill="1" applyFont="1">
      <alignment readingOrder="0"/>
    </xf>
    <xf borderId="0" fillId="0" fontId="4" numFmtId="0" xfId="0" applyAlignment="1" applyFont="1">
      <alignment vertical="bottom"/>
    </xf>
    <xf borderId="0" fillId="0" fontId="4" numFmtId="49" xfId="0" applyAlignment="1" applyFont="1" applyNumberFormat="1">
      <alignment vertical="bottom"/>
    </xf>
    <xf borderId="0" fillId="0" fontId="4" numFmtId="1" xfId="0" applyAlignment="1" applyFont="1" applyNumberFormat="1">
      <alignment vertical="bottom"/>
    </xf>
    <xf borderId="0" fillId="0" fontId="3" numFmtId="49" xfId="0" applyAlignment="1" applyFont="1" applyNumberFormat="1">
      <alignment vertical="bottom"/>
    </xf>
    <xf borderId="0" fillId="0" fontId="4" numFmtId="0" xfId="0" applyAlignment="1" applyFont="1">
      <alignment shrinkToFit="0" vertical="bottom" wrapText="0"/>
    </xf>
    <xf borderId="0" fillId="0" fontId="3" numFmtId="1" xfId="0" applyAlignment="1" applyFont="1" applyNumberFormat="1">
      <alignment shrinkToFit="0" vertical="bottom" wrapText="0"/>
    </xf>
    <xf borderId="0" fillId="0" fontId="4" numFmtId="49" xfId="0" applyAlignment="1" applyFont="1" applyNumberFormat="1">
      <alignment shrinkToFit="0" vertical="bottom" wrapText="0"/>
    </xf>
    <xf borderId="0" fillId="0" fontId="4" numFmtId="1" xfId="0" applyAlignment="1" applyFont="1" applyNumberFormat="1">
      <alignment shrinkToFit="0" vertical="bottom" wrapText="0"/>
    </xf>
    <xf borderId="0" fillId="0" fontId="3" numFmtId="49" xfId="0" applyAlignment="1" applyFont="1" applyNumberFormat="1">
      <alignment shrinkToFit="0" vertical="bottom" wrapText="0"/>
    </xf>
    <xf borderId="0" fillId="0" fontId="5" numFmtId="0" xfId="0" applyAlignment="1" applyFont="1">
      <alignment readingOrder="0"/>
    </xf>
    <xf borderId="0" fillId="0" fontId="6" numFmtId="0" xfId="0" applyAlignment="1" applyFont="1">
      <alignment readingOrder="0"/>
    </xf>
    <xf borderId="0" fillId="0" fontId="6" numFmtId="0" xfId="0" applyAlignment="1" applyFont="1">
      <alignment readingOrder="0"/>
    </xf>
    <xf borderId="0" fillId="8" fontId="6" numFmtId="0" xfId="0" applyAlignment="1" applyFill="1" applyFont="1">
      <alignment readingOrder="0" shrinkToFit="0" vertical="center" wrapText="0"/>
    </xf>
    <xf borderId="0" fillId="9" fontId="6" numFmtId="0" xfId="0" applyAlignment="1" applyFill="1" applyFont="1">
      <alignment readingOrder="0" shrinkToFit="0" vertical="center" wrapText="0"/>
    </xf>
    <xf borderId="0" fillId="0" fontId="6" numFmtId="0" xfId="0" applyAlignment="1" applyFont="1">
      <alignment horizontal="center" readingOrder="0"/>
    </xf>
    <xf borderId="0" fillId="0" fontId="6" numFmtId="14" xfId="0" applyAlignment="1" applyFont="1" applyNumberFormat="1">
      <alignment readingOrder="0"/>
    </xf>
    <xf borderId="0" fillId="0" fontId="6" numFmtId="164" xfId="0" applyAlignment="1" applyFont="1" applyNumberFormat="1">
      <alignment readingOrder="0"/>
    </xf>
    <xf borderId="0" fillId="0" fontId="6" numFmtId="0" xfId="0" applyFont="1"/>
    <xf borderId="0" fillId="10" fontId="6" numFmtId="0" xfId="0" applyAlignment="1" applyFill="1" applyFont="1">
      <alignment readingOrder="0"/>
    </xf>
    <xf borderId="0" fillId="9" fontId="6" numFmtId="0" xfId="0" applyAlignment="1" applyFont="1">
      <alignment readingOrder="0"/>
    </xf>
    <xf borderId="0" fillId="9" fontId="4" numFmtId="0" xfId="0" applyAlignment="1" applyFont="1">
      <alignment vertical="bottom"/>
    </xf>
    <xf borderId="0" fillId="10" fontId="4" numFmtId="0" xfId="0" applyAlignment="1" applyFont="1">
      <alignment vertical="bottom"/>
    </xf>
    <xf borderId="0" fillId="0" fontId="6" numFmtId="165" xfId="0" applyAlignment="1" applyFont="1" applyNumberFormat="1">
      <alignment readingOrder="0"/>
    </xf>
    <xf borderId="0" fillId="0" fontId="6" numFmtId="0" xfId="0" applyAlignment="1" applyFont="1">
      <alignment readingOrder="0"/>
    </xf>
    <xf borderId="0" fillId="0" fontId="6" numFmtId="0" xfId="0" applyAlignment="1" applyFont="1">
      <alignment shrinkToFit="0" wrapText="0"/>
    </xf>
    <xf borderId="0" fillId="0" fontId="7" numFmtId="0" xfId="0" applyAlignment="1" applyFont="1">
      <alignment readingOrder="0" shrinkToFit="0" wrapText="0"/>
    </xf>
    <xf borderId="0" fillId="5" fontId="6" numFmtId="0" xfId="0" applyAlignment="1" applyFont="1">
      <alignment readingOrder="0"/>
    </xf>
    <xf borderId="0" fillId="5" fontId="6" numFmtId="0" xfId="0" applyAlignment="1" applyFont="1">
      <alignment readingOrder="0" shrinkToFit="0" wrapText="0"/>
    </xf>
    <xf borderId="0" fillId="0" fontId="8" numFmtId="0" xfId="0" applyAlignment="1" applyFont="1">
      <alignment readingOrder="0"/>
    </xf>
    <xf borderId="0" fillId="0" fontId="6"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8" fontId="6" numFmtId="0" xfId="0" applyAlignment="1" applyFont="1">
      <alignment readingOrder="0"/>
    </xf>
    <xf borderId="0" fillId="8" fontId="6" numFmtId="0" xfId="0" applyAlignment="1" applyFont="1">
      <alignment readingOrder="0" shrinkToFit="0" wrapText="0"/>
    </xf>
    <xf borderId="0" fillId="0" fontId="11" numFmtId="0" xfId="0" applyAlignment="1" applyFont="1">
      <alignment readingOrder="0"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1" numFmtId="0" xfId="0" applyAlignment="1" applyFont="1">
      <alignment shrinkToFit="0" wrapText="0"/>
    </xf>
    <xf borderId="0" fillId="0" fontId="9" numFmtId="0" xfId="0" applyAlignment="1" applyFont="1">
      <alignment shrinkToFit="0" wrapText="0"/>
    </xf>
    <xf borderId="0" fillId="0" fontId="14" numFmtId="0" xfId="0" applyAlignment="1" applyFont="1">
      <alignment readingOrder="0" shrinkToFit="0" wrapText="0"/>
    </xf>
    <xf borderId="0" fillId="0" fontId="15" numFmtId="0" xfId="0" applyAlignment="1" applyFont="1">
      <alignment readingOrder="0" shrinkToFit="0" wrapText="0"/>
    </xf>
    <xf borderId="0" fillId="0" fontId="16" numFmtId="0" xfId="0" applyAlignment="1" applyFont="1">
      <alignment readingOrder="0" shrinkToFit="0" wrapText="0"/>
    </xf>
    <xf borderId="0" fillId="0" fontId="17" numFmtId="0" xfId="0" applyAlignment="1" applyFont="1">
      <alignment readingOrder="0" shrinkToFit="0" wrapText="0"/>
    </xf>
    <xf borderId="0" fillId="0" fontId="18"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victor-bot-01/apps-script-temp" TargetMode="External"/><Relationship Id="rId2" Type="http://schemas.openxmlformats.org/officeDocument/2006/relationships/hyperlink" Target="https://claude.ai/code/session_0155h9VngJ9kWP2hvWu916a6" TargetMode="External"/><Relationship Id="rId3" Type="http://schemas.openxmlformats.org/officeDocument/2006/relationships/hyperlink" Target="http://prompt.md/" TargetMode="External"/><Relationship Id="rId4" Type="http://schemas.openxmlformats.org/officeDocument/2006/relationships/hyperlink" Target="http://prompt.md/" TargetMode="External"/><Relationship Id="rId5" Type="http://schemas.openxmlformats.org/officeDocument/2006/relationships/hyperlink" Target="https://script.google.com/a/macros/gigaimports.com/s/AKfycbyEIQ6NwuhQ9Heu_df2qJcfY-HYr19UnIZOP7pKiZ8zs9zhX2eZ_rJnuxfGdEiNVnLjZw/exec" TargetMode="External"/><Relationship Id="rId6" Type="http://schemas.openxmlformats.org/officeDocument/2006/relationships/hyperlink" Target="https://api.qrserver.com/v1/create-qr-code/?size=300x300&amp;data=https://script.google.com/a/macros/gigaimports.com/s/AKfycbyEIQ6NwuhQ9Heu_df2qJcfY-HYr19UnIZOP7pKiZ8zs9zhX2eZ_rJnuxfGdEiNVnLjZw/exec"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2" max="2" width="20.5"/>
    <col customWidth="1" min="3" max="3" width="17.63"/>
    <col customWidth="1" min="4" max="4" width="3.75"/>
    <col customWidth="1" min="5" max="5" width="17.63"/>
    <col customWidth="1" min="6" max="6" width="3.75"/>
    <col customWidth="1" min="7" max="7" width="17.63"/>
    <col customWidth="1" min="8" max="8" width="3.75"/>
    <col customWidth="1" min="9" max="9" width="29.13"/>
    <col customWidth="1" min="10" max="10" width="3.75"/>
    <col customWidth="1" min="11" max="11" width="32.0"/>
    <col customWidth="1" min="12" max="12" width="3.75"/>
    <col customWidth="1" min="13" max="13" width="34.38"/>
    <col customWidth="1" min="14" max="14" width="3.75"/>
    <col customWidth="1" min="15" max="15" width="35.0"/>
    <col customWidth="1" min="16" max="16" width="3.75"/>
    <col customWidth="1" min="17" max="17" width="35.88"/>
    <col customWidth="1" min="18" max="18" width="3.75"/>
    <col customWidth="1" min="19" max="19" width="36.75"/>
    <col customWidth="1" min="20" max="20" width="4.0"/>
    <col customWidth="1" min="21" max="21" width="33.5"/>
    <col customWidth="1" min="22" max="22" width="4.0"/>
    <col customWidth="1" min="23" max="23" width="31.38"/>
    <col customWidth="1" min="24" max="24" width="4.0"/>
    <col customWidth="1" min="25" max="25" width="40.13"/>
    <col customWidth="1" min="26" max="26" width="4.0"/>
    <col customWidth="1" min="27" max="27" width="36.63"/>
    <col customWidth="1" min="28" max="28" width="4.0"/>
    <col customWidth="1" min="29" max="29" width="23.25"/>
    <col customWidth="1" min="30" max="30" width="4.0"/>
    <col customWidth="1" min="31" max="31" width="23.75"/>
    <col customWidth="1" min="32" max="32" width="4.0"/>
    <col customWidth="1" min="33" max="33" width="25.63"/>
    <col customWidth="1" min="34" max="34" width="4.0"/>
    <col customWidth="1" min="35" max="35" width="19.5"/>
    <col customWidth="1" min="36" max="36" width="4.0"/>
    <col customWidth="1" min="37" max="37" width="24.0"/>
    <col customWidth="1" min="38" max="38" width="4.0"/>
    <col customWidth="1" min="39" max="39" width="50.38"/>
    <col customWidth="1" min="40" max="40" width="4.0"/>
    <col customWidth="1" min="41" max="41" width="41.63"/>
    <col customWidth="1" min="42" max="42" width="4.0"/>
    <col customWidth="1" min="43" max="43" width="26.63"/>
    <col customWidth="1" min="44" max="44" width="4.0"/>
    <col customWidth="1" min="45" max="45" width="33.13"/>
    <col customWidth="1" min="46" max="46" width="4.0"/>
    <col customWidth="1" min="47" max="47" width="32.25"/>
    <col customWidth="1" min="48" max="48" width="4.0"/>
    <col customWidth="1" min="49" max="49" width="19.0"/>
    <col customWidth="1" min="50" max="50" width="4.0"/>
    <col customWidth="1" min="51" max="51" width="35.5"/>
    <col customWidth="1" min="52" max="52" width="4.0"/>
    <col customWidth="1" min="53" max="53" width="7.63"/>
  </cols>
  <sheetData>
    <row r="1" ht="15.75" customHeight="1">
      <c r="A1" s="1" t="s">
        <v>0</v>
      </c>
      <c r="B1" s="2" t="s">
        <v>1</v>
      </c>
      <c r="C1" s="3" t="s">
        <v>2</v>
      </c>
      <c r="D1" s="4" t="s">
        <v>3</v>
      </c>
      <c r="E1" s="3" t="s">
        <v>2</v>
      </c>
      <c r="F1" s="4" t="s">
        <v>3</v>
      </c>
      <c r="G1" s="5" t="s">
        <v>4</v>
      </c>
      <c r="H1" s="4" t="s">
        <v>3</v>
      </c>
      <c r="I1" s="5" t="s">
        <v>5</v>
      </c>
      <c r="J1" s="4" t="s">
        <v>3</v>
      </c>
      <c r="K1" s="5" t="s">
        <v>6</v>
      </c>
      <c r="L1" s="4" t="s">
        <v>3</v>
      </c>
      <c r="M1" s="5" t="s">
        <v>7</v>
      </c>
      <c r="N1" s="4" t="s">
        <v>3</v>
      </c>
      <c r="O1" s="5" t="s">
        <v>8</v>
      </c>
      <c r="P1" s="4" t="s">
        <v>3</v>
      </c>
      <c r="Q1" s="5" t="s">
        <v>9</v>
      </c>
      <c r="R1" s="4" t="s">
        <v>3</v>
      </c>
      <c r="S1" s="5" t="s">
        <v>10</v>
      </c>
      <c r="T1" s="4" t="s">
        <v>3</v>
      </c>
      <c r="U1" s="5" t="s">
        <v>11</v>
      </c>
      <c r="V1" s="4" t="s">
        <v>3</v>
      </c>
      <c r="W1" s="5" t="s">
        <v>12</v>
      </c>
      <c r="X1" s="4" t="s">
        <v>3</v>
      </c>
      <c r="Y1" s="5" t="s">
        <v>13</v>
      </c>
      <c r="Z1" s="4" t="s">
        <v>3</v>
      </c>
      <c r="AA1" s="5" t="s">
        <v>14</v>
      </c>
      <c r="AB1" s="4" t="s">
        <v>3</v>
      </c>
      <c r="AC1" s="5" t="s">
        <v>15</v>
      </c>
      <c r="AD1" s="4" t="s">
        <v>3</v>
      </c>
      <c r="AE1" s="5" t="s">
        <v>16</v>
      </c>
      <c r="AF1" s="4" t="s">
        <v>3</v>
      </c>
      <c r="AG1" s="5" t="s">
        <v>17</v>
      </c>
      <c r="AH1" s="4" t="s">
        <v>3</v>
      </c>
      <c r="AI1" s="5" t="s">
        <v>18</v>
      </c>
      <c r="AJ1" s="4" t="s">
        <v>3</v>
      </c>
      <c r="AK1" s="5" t="s">
        <v>19</v>
      </c>
      <c r="AL1" s="4" t="s">
        <v>3</v>
      </c>
      <c r="AM1" s="5" t="s">
        <v>20</v>
      </c>
      <c r="AN1" s="4" t="s">
        <v>3</v>
      </c>
      <c r="AO1" s="5" t="s">
        <v>21</v>
      </c>
      <c r="AP1" s="4" t="s">
        <v>3</v>
      </c>
      <c r="AQ1" s="5" t="s">
        <v>22</v>
      </c>
      <c r="AR1" s="4" t="s">
        <v>3</v>
      </c>
      <c r="AS1" s="5" t="s">
        <v>23</v>
      </c>
      <c r="AT1" s="4" t="s">
        <v>3</v>
      </c>
      <c r="AU1" s="5" t="s">
        <v>24</v>
      </c>
      <c r="AV1" s="4" t="s">
        <v>3</v>
      </c>
      <c r="AW1" s="5" t="s">
        <v>25</v>
      </c>
      <c r="AX1" s="4" t="s">
        <v>3</v>
      </c>
      <c r="AY1" s="5" t="s">
        <v>26</v>
      </c>
      <c r="AZ1" s="4" t="s">
        <v>3</v>
      </c>
      <c r="BA1" s="6"/>
      <c r="BB1" s="6"/>
      <c r="BC1" s="6"/>
      <c r="BD1" s="6"/>
      <c r="BE1" s="6"/>
      <c r="BF1" s="6"/>
      <c r="BG1" s="6"/>
      <c r="BH1" s="6"/>
      <c r="BI1" s="6"/>
      <c r="BJ1" s="6"/>
      <c r="BK1" s="6"/>
      <c r="BL1" s="6"/>
      <c r="BM1" s="6"/>
      <c r="BN1" s="6"/>
      <c r="BO1" s="6"/>
      <c r="BP1" s="6"/>
      <c r="BQ1" s="6"/>
      <c r="BR1" s="6"/>
      <c r="BS1" s="6"/>
      <c r="BT1" s="6"/>
      <c r="BU1" s="6"/>
      <c r="BV1" s="6"/>
    </row>
    <row r="2" ht="15.75" customHeight="1">
      <c r="A2" s="7"/>
      <c r="B2" s="8"/>
      <c r="C2" s="6" t="s">
        <v>27</v>
      </c>
      <c r="D2" s="9">
        <v>0.0</v>
      </c>
      <c r="E2" s="6" t="s">
        <v>28</v>
      </c>
      <c r="F2" s="9">
        <v>1.0</v>
      </c>
      <c r="G2" s="9" t="s">
        <v>29</v>
      </c>
      <c r="H2" s="9">
        <v>1.0</v>
      </c>
      <c r="I2" s="9" t="s">
        <v>30</v>
      </c>
      <c r="J2" s="9">
        <v>1.0</v>
      </c>
      <c r="K2" s="10" t="s">
        <v>31</v>
      </c>
      <c r="L2" s="9">
        <v>1.0</v>
      </c>
      <c r="M2" s="10" t="s">
        <v>32</v>
      </c>
      <c r="N2" s="9">
        <v>1.0</v>
      </c>
      <c r="O2" s="9" t="s">
        <v>33</v>
      </c>
      <c r="P2" s="9">
        <v>1.0</v>
      </c>
      <c r="Q2" s="10" t="s">
        <v>34</v>
      </c>
      <c r="R2" s="9">
        <v>1.0</v>
      </c>
      <c r="S2" s="9" t="s">
        <v>35</v>
      </c>
      <c r="T2" s="9">
        <v>1.0</v>
      </c>
      <c r="U2" s="9" t="s">
        <v>36</v>
      </c>
      <c r="V2" s="9">
        <v>1.0</v>
      </c>
      <c r="W2" s="9" t="s">
        <v>37</v>
      </c>
      <c r="X2" s="9">
        <v>1.0</v>
      </c>
      <c r="Y2" s="9" t="s">
        <v>38</v>
      </c>
      <c r="Z2" s="9">
        <v>1.0</v>
      </c>
      <c r="AA2" s="11" t="s">
        <v>39</v>
      </c>
      <c r="AB2" s="9">
        <v>1.0</v>
      </c>
      <c r="AC2" s="9" t="s">
        <v>40</v>
      </c>
      <c r="AD2" s="9">
        <v>1.0</v>
      </c>
      <c r="AE2" s="9" t="s">
        <v>41</v>
      </c>
      <c r="AF2" s="9">
        <v>1.0</v>
      </c>
      <c r="AG2" s="9" t="s">
        <v>42</v>
      </c>
      <c r="AH2" s="9">
        <v>1.0</v>
      </c>
      <c r="AI2" s="9" t="s">
        <v>43</v>
      </c>
      <c r="AJ2" s="9">
        <v>1.0</v>
      </c>
      <c r="AK2" s="10" t="s">
        <v>44</v>
      </c>
      <c r="AL2" s="9">
        <v>1.0</v>
      </c>
      <c r="AM2" s="10" t="s">
        <v>45</v>
      </c>
      <c r="AN2" s="9">
        <v>1.0</v>
      </c>
      <c r="AO2" s="10" t="s">
        <v>46</v>
      </c>
      <c r="AP2" s="9">
        <v>1.0</v>
      </c>
      <c r="AQ2" s="9" t="s">
        <v>47</v>
      </c>
      <c r="AR2" s="9">
        <v>1.0</v>
      </c>
      <c r="AS2" s="10" t="s">
        <v>48</v>
      </c>
      <c r="AT2" s="9">
        <v>1.0</v>
      </c>
      <c r="AU2" s="10" t="s">
        <v>49</v>
      </c>
      <c r="AV2" s="9">
        <v>1.0</v>
      </c>
      <c r="AW2" s="9" t="s">
        <v>50</v>
      </c>
      <c r="AX2" s="9">
        <v>0.0</v>
      </c>
      <c r="AY2" s="9" t="s">
        <v>51</v>
      </c>
      <c r="AZ2" s="9">
        <v>1.0</v>
      </c>
      <c r="BA2" s="6"/>
      <c r="BB2" s="6"/>
      <c r="BC2" s="6"/>
      <c r="BD2" s="6"/>
      <c r="BE2" s="6"/>
      <c r="BF2" s="6"/>
      <c r="BG2" s="6"/>
      <c r="BH2" s="6"/>
      <c r="BI2" s="6"/>
      <c r="BJ2" s="6"/>
      <c r="BK2" s="6"/>
      <c r="BL2" s="6"/>
      <c r="BM2" s="6"/>
      <c r="BN2" s="6"/>
      <c r="BO2" s="6"/>
      <c r="BP2" s="6"/>
      <c r="BQ2" s="6"/>
      <c r="BR2" s="6"/>
      <c r="BS2" s="6"/>
      <c r="BT2" s="6"/>
      <c r="BU2" s="6"/>
      <c r="BV2" s="6"/>
    </row>
    <row r="3" ht="15.75" customHeight="1">
      <c r="A3" s="7"/>
      <c r="B3" s="8"/>
      <c r="C3" s="6" t="s">
        <v>52</v>
      </c>
      <c r="D3" s="9">
        <v>1.0</v>
      </c>
      <c r="E3" s="6" t="s">
        <v>53</v>
      </c>
      <c r="F3" s="9">
        <v>1.0</v>
      </c>
      <c r="G3" s="9" t="s">
        <v>54</v>
      </c>
      <c r="H3" s="9">
        <v>1.0</v>
      </c>
      <c r="I3" s="9" t="s">
        <v>55</v>
      </c>
      <c r="J3" s="9">
        <v>1.0</v>
      </c>
      <c r="K3" s="10" t="s">
        <v>56</v>
      </c>
      <c r="L3" s="9">
        <v>0.0</v>
      </c>
      <c r="M3" s="10" t="s">
        <v>57</v>
      </c>
      <c r="N3" s="9">
        <v>1.0</v>
      </c>
      <c r="O3" s="9" t="s">
        <v>58</v>
      </c>
      <c r="P3" s="9">
        <v>1.0</v>
      </c>
      <c r="Q3" s="10" t="s">
        <v>59</v>
      </c>
      <c r="R3" s="9">
        <v>1.0</v>
      </c>
      <c r="S3" s="9" t="s">
        <v>60</v>
      </c>
      <c r="T3" s="9">
        <v>1.0</v>
      </c>
      <c r="U3" s="9" t="s">
        <v>61</v>
      </c>
      <c r="V3" s="9">
        <v>1.0</v>
      </c>
      <c r="W3" s="9" t="s">
        <v>62</v>
      </c>
      <c r="X3" s="9">
        <v>1.0</v>
      </c>
      <c r="Y3" s="9" t="s">
        <v>63</v>
      </c>
      <c r="Z3" s="9">
        <v>1.0</v>
      </c>
      <c r="AA3" s="11" t="s">
        <v>64</v>
      </c>
      <c r="AB3" s="9">
        <v>1.0</v>
      </c>
      <c r="AC3" s="9" t="s">
        <v>65</v>
      </c>
      <c r="AD3" s="9">
        <v>1.0</v>
      </c>
      <c r="AE3" s="9" t="s">
        <v>66</v>
      </c>
      <c r="AF3" s="9">
        <v>1.0</v>
      </c>
      <c r="AG3" s="9" t="s">
        <v>67</v>
      </c>
      <c r="AH3" s="9">
        <v>1.0</v>
      </c>
      <c r="AI3" s="9" t="s">
        <v>68</v>
      </c>
      <c r="AJ3" s="9">
        <v>1.0</v>
      </c>
      <c r="AK3" s="10" t="s">
        <v>69</v>
      </c>
      <c r="AL3" s="9">
        <v>1.0</v>
      </c>
      <c r="AM3" s="10" t="s">
        <v>70</v>
      </c>
      <c r="AN3" s="9">
        <v>1.0</v>
      </c>
      <c r="AO3" s="10" t="s">
        <v>71</v>
      </c>
      <c r="AP3" s="9">
        <v>1.0</v>
      </c>
      <c r="AQ3" s="9" t="s">
        <v>72</v>
      </c>
      <c r="AR3" s="9">
        <v>1.0</v>
      </c>
      <c r="AS3" s="10" t="s">
        <v>73</v>
      </c>
      <c r="AT3" s="9">
        <v>1.0</v>
      </c>
      <c r="AU3" s="10" t="s">
        <v>74</v>
      </c>
      <c r="AV3" s="9">
        <v>1.0</v>
      </c>
      <c r="AW3" s="9"/>
      <c r="AX3" s="9"/>
      <c r="AY3" s="9" t="s">
        <v>75</v>
      </c>
      <c r="AZ3" s="9">
        <v>1.0</v>
      </c>
      <c r="BA3" s="6"/>
      <c r="BB3" s="6"/>
      <c r="BC3" s="6"/>
      <c r="BD3" s="6"/>
      <c r="BE3" s="6"/>
      <c r="BF3" s="6"/>
      <c r="BG3" s="6"/>
      <c r="BH3" s="6"/>
      <c r="BI3" s="6"/>
      <c r="BJ3" s="6"/>
      <c r="BK3" s="6"/>
      <c r="BL3" s="6"/>
      <c r="BM3" s="6"/>
      <c r="BN3" s="6"/>
      <c r="BO3" s="6"/>
      <c r="BP3" s="6"/>
      <c r="BQ3" s="6"/>
      <c r="BR3" s="6"/>
      <c r="BS3" s="6"/>
      <c r="BT3" s="6"/>
      <c r="BU3" s="6"/>
      <c r="BV3" s="6"/>
    </row>
    <row r="4" ht="15.75" customHeight="1">
      <c r="A4" s="12"/>
      <c r="B4" s="8"/>
      <c r="C4" s="6" t="s">
        <v>76</v>
      </c>
      <c r="D4" s="9">
        <v>1.0</v>
      </c>
      <c r="E4" s="6" t="s">
        <v>77</v>
      </c>
      <c r="F4" s="9">
        <v>1.0</v>
      </c>
      <c r="G4" s="9" t="s">
        <v>78</v>
      </c>
      <c r="H4" s="9">
        <v>1.0</v>
      </c>
      <c r="I4" s="9" t="s">
        <v>79</v>
      </c>
      <c r="J4" s="9">
        <v>1.0</v>
      </c>
      <c r="K4" s="10" t="s">
        <v>80</v>
      </c>
      <c r="L4" s="9">
        <v>0.0</v>
      </c>
      <c r="M4" s="10" t="s">
        <v>81</v>
      </c>
      <c r="N4" s="9">
        <v>1.0</v>
      </c>
      <c r="O4" s="9" t="s">
        <v>82</v>
      </c>
      <c r="P4" s="9">
        <v>0.0</v>
      </c>
      <c r="Q4" s="10" t="s">
        <v>83</v>
      </c>
      <c r="R4" s="9">
        <v>1.0</v>
      </c>
      <c r="S4" s="9" t="s">
        <v>84</v>
      </c>
      <c r="T4" s="9">
        <v>1.0</v>
      </c>
      <c r="U4" s="9" t="s">
        <v>85</v>
      </c>
      <c r="V4" s="9">
        <v>1.0</v>
      </c>
      <c r="W4" s="9" t="s">
        <v>86</v>
      </c>
      <c r="X4" s="9">
        <v>1.0</v>
      </c>
      <c r="Y4" s="9" t="s">
        <v>87</v>
      </c>
      <c r="Z4" s="9">
        <v>1.0</v>
      </c>
      <c r="AA4" s="11" t="s">
        <v>88</v>
      </c>
      <c r="AB4" s="9">
        <v>1.0</v>
      </c>
      <c r="AC4" s="9" t="s">
        <v>89</v>
      </c>
      <c r="AD4" s="9">
        <v>1.0</v>
      </c>
      <c r="AE4" s="9" t="s">
        <v>90</v>
      </c>
      <c r="AF4" s="9">
        <v>1.0</v>
      </c>
      <c r="AG4" s="9" t="s">
        <v>91</v>
      </c>
      <c r="AH4" s="9">
        <v>1.0</v>
      </c>
      <c r="AI4" s="9" t="s">
        <v>92</v>
      </c>
      <c r="AJ4" s="9">
        <v>1.0</v>
      </c>
      <c r="AK4" s="10" t="s">
        <v>93</v>
      </c>
      <c r="AL4" s="9">
        <v>1.0</v>
      </c>
      <c r="AM4" s="10" t="s">
        <v>94</v>
      </c>
      <c r="AN4" s="9">
        <v>1.0</v>
      </c>
      <c r="AO4" s="10" t="s">
        <v>95</v>
      </c>
      <c r="AP4" s="9">
        <v>1.0</v>
      </c>
      <c r="AQ4" s="9" t="s">
        <v>96</v>
      </c>
      <c r="AR4" s="9">
        <v>1.0</v>
      </c>
      <c r="AS4" s="10" t="s">
        <v>97</v>
      </c>
      <c r="AT4" s="9">
        <v>1.0</v>
      </c>
      <c r="AU4" s="9"/>
      <c r="AV4" s="9"/>
      <c r="AW4" s="9"/>
      <c r="AX4" s="9"/>
      <c r="AY4" s="9" t="s">
        <v>98</v>
      </c>
      <c r="AZ4" s="9">
        <v>1.0</v>
      </c>
      <c r="BA4" s="6"/>
      <c r="BB4" s="6"/>
      <c r="BC4" s="6"/>
      <c r="BD4" s="6"/>
      <c r="BE4" s="6"/>
      <c r="BF4" s="6"/>
      <c r="BG4" s="6"/>
      <c r="BH4" s="6"/>
      <c r="BI4" s="6"/>
      <c r="BJ4" s="6"/>
      <c r="BK4" s="6"/>
      <c r="BL4" s="6"/>
      <c r="BM4" s="6"/>
      <c r="BN4" s="6"/>
      <c r="BO4" s="6"/>
      <c r="BP4" s="6"/>
      <c r="BQ4" s="6"/>
      <c r="BR4" s="6"/>
      <c r="BS4" s="6"/>
      <c r="BT4" s="6"/>
      <c r="BU4" s="6"/>
      <c r="BV4" s="6"/>
    </row>
    <row r="5" ht="15.75" customHeight="1">
      <c r="A5" s="7"/>
      <c r="B5" s="8"/>
      <c r="C5" s="6" t="s">
        <v>99</v>
      </c>
      <c r="D5" s="9">
        <v>1.0</v>
      </c>
      <c r="E5" s="6" t="s">
        <v>100</v>
      </c>
      <c r="F5" s="9">
        <v>1.0</v>
      </c>
      <c r="G5" s="9" t="s">
        <v>101</v>
      </c>
      <c r="H5" s="9">
        <v>1.0</v>
      </c>
      <c r="I5" s="10" t="s">
        <v>102</v>
      </c>
      <c r="J5" s="9">
        <v>1.0</v>
      </c>
      <c r="K5" s="10" t="s">
        <v>103</v>
      </c>
      <c r="L5" s="9">
        <v>1.0</v>
      </c>
      <c r="M5" s="10" t="s">
        <v>104</v>
      </c>
      <c r="N5" s="9">
        <v>1.0</v>
      </c>
      <c r="O5" s="9" t="s">
        <v>105</v>
      </c>
      <c r="P5" s="9">
        <v>1.0</v>
      </c>
      <c r="Q5" s="10" t="s">
        <v>106</v>
      </c>
      <c r="R5" s="9">
        <v>1.0</v>
      </c>
      <c r="S5" s="9" t="s">
        <v>107</v>
      </c>
      <c r="T5" s="9">
        <v>1.0</v>
      </c>
      <c r="U5" s="9" t="s">
        <v>108</v>
      </c>
      <c r="V5" s="9">
        <v>1.0</v>
      </c>
      <c r="W5" s="9" t="s">
        <v>109</v>
      </c>
      <c r="X5" s="9">
        <v>1.0</v>
      </c>
      <c r="Y5" s="9" t="s">
        <v>110</v>
      </c>
      <c r="Z5" s="9">
        <v>1.0</v>
      </c>
      <c r="AA5" s="11" t="s">
        <v>111</v>
      </c>
      <c r="AB5" s="9">
        <v>1.0</v>
      </c>
      <c r="AC5" s="9" t="s">
        <v>112</v>
      </c>
      <c r="AD5" s="9">
        <v>0.0</v>
      </c>
      <c r="AE5" s="9" t="s">
        <v>113</v>
      </c>
      <c r="AF5" s="9">
        <v>1.0</v>
      </c>
      <c r="AG5" s="9" t="s">
        <v>114</v>
      </c>
      <c r="AH5" s="9">
        <v>1.0</v>
      </c>
      <c r="AI5" s="9" t="s">
        <v>115</v>
      </c>
      <c r="AJ5" s="9">
        <v>1.0</v>
      </c>
      <c r="AK5" s="10" t="s">
        <v>116</v>
      </c>
      <c r="AL5" s="9">
        <v>1.0</v>
      </c>
      <c r="AM5" s="10" t="s">
        <v>117</v>
      </c>
      <c r="AN5" s="9">
        <v>1.0</v>
      </c>
      <c r="AO5" s="10" t="s">
        <v>118</v>
      </c>
      <c r="AP5" s="9">
        <v>1.0</v>
      </c>
      <c r="AQ5" s="9" t="s">
        <v>119</v>
      </c>
      <c r="AR5" s="9">
        <v>1.0</v>
      </c>
      <c r="AS5" s="10" t="s">
        <v>120</v>
      </c>
      <c r="AT5" s="9">
        <v>1.0</v>
      </c>
      <c r="AU5" s="9"/>
      <c r="AV5" s="9"/>
      <c r="AW5" s="9"/>
      <c r="AX5" s="9"/>
      <c r="AY5" s="9" t="s">
        <v>121</v>
      </c>
      <c r="AZ5" s="9">
        <v>1.0</v>
      </c>
      <c r="BA5" s="6"/>
      <c r="BB5" s="6"/>
      <c r="BC5" s="6"/>
      <c r="BD5" s="6"/>
      <c r="BE5" s="6"/>
      <c r="BF5" s="6"/>
      <c r="BG5" s="6"/>
      <c r="BH5" s="6"/>
      <c r="BI5" s="6"/>
      <c r="BJ5" s="6"/>
      <c r="BK5" s="6"/>
      <c r="BL5" s="6"/>
      <c r="BM5" s="6"/>
      <c r="BN5" s="6"/>
      <c r="BO5" s="6"/>
      <c r="BP5" s="6"/>
      <c r="BQ5" s="6"/>
      <c r="BR5" s="6"/>
      <c r="BS5" s="6"/>
      <c r="BT5" s="6"/>
      <c r="BU5" s="6"/>
      <c r="BV5" s="6"/>
    </row>
    <row r="6" ht="15.75" customHeight="1">
      <c r="A6" s="12"/>
      <c r="B6" s="8"/>
      <c r="C6" s="6" t="s">
        <v>122</v>
      </c>
      <c r="D6" s="9">
        <v>1.0</v>
      </c>
      <c r="E6" s="6" t="s">
        <v>123</v>
      </c>
      <c r="F6" s="9">
        <v>1.0</v>
      </c>
      <c r="G6" s="9" t="s">
        <v>124</v>
      </c>
      <c r="H6" s="9">
        <v>1.0</v>
      </c>
      <c r="I6" s="10" t="s">
        <v>125</v>
      </c>
      <c r="J6" s="9">
        <v>1.0</v>
      </c>
      <c r="K6" s="10" t="s">
        <v>126</v>
      </c>
      <c r="L6" s="9">
        <v>1.0</v>
      </c>
      <c r="M6" s="10" t="s">
        <v>127</v>
      </c>
      <c r="N6" s="9">
        <v>1.0</v>
      </c>
      <c r="O6" s="9" t="s">
        <v>128</v>
      </c>
      <c r="P6" s="9">
        <v>1.0</v>
      </c>
      <c r="Q6" s="10" t="s">
        <v>129</v>
      </c>
      <c r="R6" s="9">
        <v>1.0</v>
      </c>
      <c r="S6" s="9" t="s">
        <v>130</v>
      </c>
      <c r="T6" s="9">
        <v>1.0</v>
      </c>
      <c r="U6" s="9" t="s">
        <v>131</v>
      </c>
      <c r="V6" s="9">
        <v>1.0</v>
      </c>
      <c r="W6" s="9" t="s">
        <v>132</v>
      </c>
      <c r="X6" s="9">
        <v>1.0</v>
      </c>
      <c r="Y6" s="9" t="s">
        <v>133</v>
      </c>
      <c r="Z6" s="9">
        <v>1.0</v>
      </c>
      <c r="AA6" s="11" t="s">
        <v>134</v>
      </c>
      <c r="AB6" s="9">
        <v>0.0</v>
      </c>
      <c r="AC6" s="9" t="s">
        <v>135</v>
      </c>
      <c r="AD6" s="9">
        <v>1.0</v>
      </c>
      <c r="AE6" s="9"/>
      <c r="AF6" s="9"/>
      <c r="AG6" s="9" t="s">
        <v>136</v>
      </c>
      <c r="AH6" s="9">
        <v>1.0</v>
      </c>
      <c r="AI6" s="9" t="s">
        <v>137</v>
      </c>
      <c r="AJ6" s="9">
        <v>1.0</v>
      </c>
      <c r="AK6" s="10" t="s">
        <v>138</v>
      </c>
      <c r="AL6" s="9">
        <v>1.0</v>
      </c>
      <c r="AM6" s="10" t="s">
        <v>139</v>
      </c>
      <c r="AN6" s="9">
        <v>1.0</v>
      </c>
      <c r="AO6" s="10" t="s">
        <v>140</v>
      </c>
      <c r="AP6" s="9">
        <v>1.0</v>
      </c>
      <c r="AQ6" s="10" t="s">
        <v>141</v>
      </c>
      <c r="AR6" s="9">
        <v>1.0</v>
      </c>
      <c r="AS6" s="9"/>
      <c r="AT6" s="9"/>
      <c r="AU6" s="9"/>
      <c r="AV6" s="9"/>
      <c r="AW6" s="9"/>
      <c r="AX6" s="9"/>
      <c r="AY6" s="9"/>
      <c r="AZ6" s="9"/>
      <c r="BA6" s="6"/>
      <c r="BB6" s="6"/>
      <c r="BC6" s="6"/>
      <c r="BD6" s="6"/>
      <c r="BE6" s="6"/>
      <c r="BF6" s="6"/>
      <c r="BG6" s="6"/>
      <c r="BH6" s="6"/>
      <c r="BI6" s="6"/>
      <c r="BJ6" s="6"/>
      <c r="BK6" s="6"/>
      <c r="BL6" s="6"/>
      <c r="BM6" s="6"/>
      <c r="BN6" s="6"/>
      <c r="BO6" s="6"/>
      <c r="BP6" s="6"/>
      <c r="BQ6" s="6"/>
      <c r="BR6" s="6"/>
      <c r="BS6" s="6"/>
      <c r="BT6" s="6"/>
      <c r="BU6" s="6"/>
      <c r="BV6" s="6"/>
    </row>
    <row r="7" ht="15.75" customHeight="1">
      <c r="A7" s="12"/>
      <c r="B7" s="8"/>
      <c r="C7" s="6" t="s">
        <v>142</v>
      </c>
      <c r="D7" s="9">
        <v>1.0</v>
      </c>
      <c r="E7" s="6" t="s">
        <v>143</v>
      </c>
      <c r="F7" s="9">
        <v>1.0</v>
      </c>
      <c r="G7" s="9" t="s">
        <v>144</v>
      </c>
      <c r="H7" s="9">
        <v>1.0</v>
      </c>
      <c r="I7" s="10" t="s">
        <v>145</v>
      </c>
      <c r="J7" s="9">
        <v>1.0</v>
      </c>
      <c r="K7" s="10" t="s">
        <v>146</v>
      </c>
      <c r="L7" s="9">
        <v>1.0</v>
      </c>
      <c r="M7" s="10" t="s">
        <v>147</v>
      </c>
      <c r="N7" s="9">
        <v>1.0</v>
      </c>
      <c r="O7" s="9" t="s">
        <v>148</v>
      </c>
      <c r="P7" s="9">
        <v>1.0</v>
      </c>
      <c r="Q7" s="10" t="s">
        <v>149</v>
      </c>
      <c r="R7" s="9">
        <v>1.0</v>
      </c>
      <c r="S7" s="9" t="s">
        <v>150</v>
      </c>
      <c r="T7" s="9">
        <v>1.0</v>
      </c>
      <c r="U7" s="9" t="s">
        <v>151</v>
      </c>
      <c r="V7" s="9">
        <v>1.0</v>
      </c>
      <c r="W7" s="9" t="s">
        <v>152</v>
      </c>
      <c r="X7" s="9">
        <v>1.0</v>
      </c>
      <c r="Y7" s="9" t="s">
        <v>153</v>
      </c>
      <c r="Z7" s="9">
        <v>1.0</v>
      </c>
      <c r="AA7" s="11" t="s">
        <v>154</v>
      </c>
      <c r="AB7" s="9">
        <v>1.0</v>
      </c>
      <c r="AC7" s="9" t="s">
        <v>155</v>
      </c>
      <c r="AD7" s="9">
        <v>1.0</v>
      </c>
      <c r="AE7" s="9"/>
      <c r="AF7" s="9"/>
      <c r="AG7" s="9" t="s">
        <v>156</v>
      </c>
      <c r="AH7" s="9">
        <v>1.0</v>
      </c>
      <c r="AI7" s="9" t="s">
        <v>157</v>
      </c>
      <c r="AJ7" s="9">
        <v>1.0</v>
      </c>
      <c r="AK7" s="10" t="s">
        <v>158</v>
      </c>
      <c r="AL7" s="9">
        <v>1.0</v>
      </c>
      <c r="AM7" s="10" t="s">
        <v>159</v>
      </c>
      <c r="AN7" s="9">
        <v>1.0</v>
      </c>
      <c r="AO7" s="9"/>
      <c r="AP7" s="9"/>
      <c r="AQ7" s="9"/>
      <c r="AR7" s="9"/>
      <c r="AS7" s="9"/>
      <c r="AT7" s="9"/>
      <c r="AU7" s="9"/>
      <c r="AV7" s="9"/>
      <c r="AW7" s="9"/>
      <c r="AX7" s="9"/>
      <c r="AY7" s="9"/>
      <c r="AZ7" s="9"/>
      <c r="BA7" s="6"/>
      <c r="BB7" s="6"/>
      <c r="BC7" s="6"/>
      <c r="BD7" s="6"/>
      <c r="BE7" s="6"/>
      <c r="BF7" s="6"/>
      <c r="BG7" s="6"/>
      <c r="BH7" s="6"/>
      <c r="BI7" s="6"/>
      <c r="BJ7" s="6"/>
      <c r="BK7" s="6"/>
      <c r="BL7" s="6"/>
      <c r="BM7" s="6"/>
      <c r="BN7" s="6"/>
      <c r="BO7" s="6"/>
      <c r="BP7" s="6"/>
      <c r="BQ7" s="6"/>
      <c r="BR7" s="6"/>
      <c r="BS7" s="6"/>
      <c r="BT7" s="6"/>
      <c r="BU7" s="6"/>
      <c r="BV7" s="6"/>
    </row>
    <row r="8" ht="15.75" customHeight="1">
      <c r="A8" s="7"/>
      <c r="B8" s="8"/>
      <c r="C8" s="6" t="s">
        <v>160</v>
      </c>
      <c r="D8" s="9">
        <v>1.0</v>
      </c>
      <c r="E8" s="6" t="s">
        <v>161</v>
      </c>
      <c r="F8" s="9">
        <v>1.0</v>
      </c>
      <c r="G8" s="9" t="s">
        <v>162</v>
      </c>
      <c r="H8" s="9">
        <v>1.0</v>
      </c>
      <c r="I8" s="10" t="s">
        <v>163</v>
      </c>
      <c r="J8" s="9">
        <v>1.0</v>
      </c>
      <c r="K8" s="10" t="s">
        <v>164</v>
      </c>
      <c r="L8" s="9">
        <v>1.0</v>
      </c>
      <c r="M8" s="10" t="s">
        <v>165</v>
      </c>
      <c r="N8" s="9">
        <v>1.0</v>
      </c>
      <c r="O8" s="9" t="s">
        <v>166</v>
      </c>
      <c r="P8" s="9">
        <v>1.0</v>
      </c>
      <c r="Q8" s="9"/>
      <c r="R8" s="9"/>
      <c r="S8" s="9" t="s">
        <v>167</v>
      </c>
      <c r="T8" s="9">
        <v>1.0</v>
      </c>
      <c r="U8" s="9" t="s">
        <v>168</v>
      </c>
      <c r="V8" s="9">
        <v>1.0</v>
      </c>
      <c r="W8" s="9" t="s">
        <v>169</v>
      </c>
      <c r="X8" s="9">
        <v>1.0</v>
      </c>
      <c r="Y8" s="9" t="s">
        <v>170</v>
      </c>
      <c r="Z8" s="9">
        <v>1.0</v>
      </c>
      <c r="AA8" s="11" t="s">
        <v>171</v>
      </c>
      <c r="AB8" s="9">
        <v>1.0</v>
      </c>
      <c r="AC8" s="9" t="s">
        <v>172</v>
      </c>
      <c r="AD8" s="9">
        <v>1.0</v>
      </c>
      <c r="AE8" s="9"/>
      <c r="AF8" s="9"/>
      <c r="AG8" s="9" t="s">
        <v>173</v>
      </c>
      <c r="AH8" s="9">
        <v>1.0</v>
      </c>
      <c r="AI8" s="9" t="s">
        <v>174</v>
      </c>
      <c r="AJ8" s="9">
        <v>1.0</v>
      </c>
      <c r="AK8" s="10" t="s">
        <v>175</v>
      </c>
      <c r="AL8" s="9">
        <v>1.0</v>
      </c>
      <c r="AM8" s="10" t="s">
        <v>176</v>
      </c>
      <c r="AN8" s="9">
        <v>1.0</v>
      </c>
      <c r="AO8" s="9"/>
      <c r="AP8" s="9"/>
      <c r="AQ8" s="9"/>
      <c r="AR8" s="9"/>
      <c r="AS8" s="9"/>
      <c r="AT8" s="9"/>
      <c r="AU8" s="9"/>
      <c r="AV8" s="9"/>
      <c r="AW8" s="9"/>
      <c r="AX8" s="9"/>
      <c r="AY8" s="9"/>
      <c r="AZ8" s="9"/>
      <c r="BA8" s="6"/>
      <c r="BB8" s="6"/>
      <c r="BC8" s="6"/>
      <c r="BD8" s="6"/>
      <c r="BE8" s="6"/>
      <c r="BF8" s="6"/>
      <c r="BG8" s="6"/>
      <c r="BH8" s="6"/>
      <c r="BI8" s="6"/>
      <c r="BJ8" s="6"/>
      <c r="BK8" s="6"/>
      <c r="BL8" s="6"/>
      <c r="BM8" s="6"/>
      <c r="BN8" s="6"/>
      <c r="BO8" s="6"/>
      <c r="BP8" s="6"/>
      <c r="BQ8" s="6"/>
      <c r="BR8" s="6"/>
      <c r="BS8" s="6"/>
      <c r="BT8" s="6"/>
      <c r="BU8" s="6"/>
      <c r="BV8" s="6"/>
    </row>
    <row r="9" ht="15.75" customHeight="1">
      <c r="A9" s="12"/>
      <c r="B9" s="8"/>
      <c r="C9" s="6" t="s">
        <v>177</v>
      </c>
      <c r="D9" s="9">
        <v>1.0</v>
      </c>
      <c r="E9" s="6" t="s">
        <v>178</v>
      </c>
      <c r="F9" s="9">
        <v>1.0</v>
      </c>
      <c r="G9" s="9" t="s">
        <v>179</v>
      </c>
      <c r="H9" s="9">
        <v>1.0</v>
      </c>
      <c r="I9" s="10" t="s">
        <v>180</v>
      </c>
      <c r="J9" s="9">
        <v>1.0</v>
      </c>
      <c r="K9" s="10" t="s">
        <v>181</v>
      </c>
      <c r="L9" s="9">
        <v>1.0</v>
      </c>
      <c r="M9" s="10" t="s">
        <v>182</v>
      </c>
      <c r="N9" s="9">
        <v>1.0</v>
      </c>
      <c r="O9" s="9"/>
      <c r="P9" s="9"/>
      <c r="Q9" s="9"/>
      <c r="R9" s="9"/>
      <c r="S9" s="9" t="s">
        <v>183</v>
      </c>
      <c r="T9" s="9">
        <v>1.0</v>
      </c>
      <c r="U9" s="9" t="s">
        <v>184</v>
      </c>
      <c r="V9" s="9">
        <v>1.0</v>
      </c>
      <c r="W9" s="9" t="s">
        <v>185</v>
      </c>
      <c r="X9" s="9">
        <v>1.0</v>
      </c>
      <c r="Y9" s="9" t="s">
        <v>186</v>
      </c>
      <c r="Z9" s="9">
        <v>1.0</v>
      </c>
      <c r="AA9" s="11" t="s">
        <v>187</v>
      </c>
      <c r="AB9" s="9">
        <v>1.0</v>
      </c>
      <c r="AC9" s="9" t="s">
        <v>188</v>
      </c>
      <c r="AD9" s="9">
        <v>1.0</v>
      </c>
      <c r="AE9" s="9"/>
      <c r="AF9" s="9"/>
      <c r="AG9" s="9" t="s">
        <v>189</v>
      </c>
      <c r="AH9" s="9">
        <v>1.0</v>
      </c>
      <c r="AI9" s="9" t="s">
        <v>190</v>
      </c>
      <c r="AJ9" s="9">
        <v>1.0</v>
      </c>
      <c r="AK9" s="9"/>
      <c r="AL9" s="9"/>
      <c r="AM9" s="10" t="s">
        <v>191</v>
      </c>
      <c r="AN9" s="9">
        <v>1.0</v>
      </c>
      <c r="AO9" s="9"/>
      <c r="AP9" s="9"/>
      <c r="AQ9" s="9"/>
      <c r="AR9" s="9"/>
      <c r="AS9" s="9"/>
      <c r="AT9" s="9"/>
      <c r="AU9" s="9"/>
      <c r="AV9" s="9"/>
      <c r="AW9" s="9"/>
      <c r="AX9" s="9"/>
      <c r="AY9" s="9"/>
      <c r="AZ9" s="9"/>
      <c r="BA9" s="6"/>
      <c r="BB9" s="6"/>
      <c r="BC9" s="6"/>
      <c r="BD9" s="6"/>
      <c r="BE9" s="6"/>
      <c r="BF9" s="6"/>
      <c r="BG9" s="6"/>
      <c r="BH9" s="6"/>
      <c r="BI9" s="6"/>
      <c r="BJ9" s="6"/>
      <c r="BK9" s="6"/>
      <c r="BL9" s="6"/>
      <c r="BM9" s="6"/>
      <c r="BN9" s="6"/>
      <c r="BO9" s="6"/>
      <c r="BP9" s="6"/>
      <c r="BQ9" s="6"/>
      <c r="BR9" s="6"/>
      <c r="BS9" s="6"/>
      <c r="BT9" s="6"/>
      <c r="BU9" s="6"/>
      <c r="BV9" s="6"/>
    </row>
    <row r="10" ht="15.75" customHeight="1">
      <c r="A10" s="12"/>
      <c r="B10" s="8"/>
      <c r="C10" s="6" t="s">
        <v>192</v>
      </c>
      <c r="D10" s="9">
        <v>1.0</v>
      </c>
      <c r="E10" s="6" t="s">
        <v>193</v>
      </c>
      <c r="F10" s="9">
        <v>1.0</v>
      </c>
      <c r="G10" s="9" t="s">
        <v>194</v>
      </c>
      <c r="H10" s="9">
        <v>1.0</v>
      </c>
      <c r="I10" s="10" t="s">
        <v>195</v>
      </c>
      <c r="J10" s="9">
        <v>1.0</v>
      </c>
      <c r="K10" s="10" t="s">
        <v>196</v>
      </c>
      <c r="L10" s="9">
        <v>0.0</v>
      </c>
      <c r="M10" s="10" t="s">
        <v>197</v>
      </c>
      <c r="N10" s="9">
        <v>1.0</v>
      </c>
      <c r="O10" s="9"/>
      <c r="P10" s="9"/>
      <c r="Q10" s="9"/>
      <c r="R10" s="9"/>
      <c r="S10" s="9" t="s">
        <v>198</v>
      </c>
      <c r="T10" s="9">
        <v>1.0</v>
      </c>
      <c r="U10" s="9" t="s">
        <v>199</v>
      </c>
      <c r="V10" s="9">
        <v>1.0</v>
      </c>
      <c r="W10" s="9" t="s">
        <v>200</v>
      </c>
      <c r="X10" s="9">
        <v>1.0</v>
      </c>
      <c r="Y10" s="9" t="s">
        <v>201</v>
      </c>
      <c r="Z10" s="9">
        <v>1.0</v>
      </c>
      <c r="AA10" s="11" t="s">
        <v>202</v>
      </c>
      <c r="AB10" s="9">
        <v>1.0</v>
      </c>
      <c r="AC10" s="9" t="s">
        <v>203</v>
      </c>
      <c r="AD10" s="9">
        <v>1.0</v>
      </c>
      <c r="AE10" s="9"/>
      <c r="AF10" s="9"/>
      <c r="AG10" s="9"/>
      <c r="AH10" s="9"/>
      <c r="AI10" s="9" t="s">
        <v>204</v>
      </c>
      <c r="AJ10" s="9">
        <v>1.0</v>
      </c>
      <c r="AK10" s="9"/>
      <c r="AL10" s="9"/>
      <c r="AM10" s="10" t="s">
        <v>205</v>
      </c>
      <c r="AN10" s="9">
        <v>1.0</v>
      </c>
      <c r="AO10" s="9"/>
      <c r="AP10" s="9"/>
      <c r="AQ10" s="9"/>
      <c r="AR10" s="9"/>
      <c r="AS10" s="9"/>
      <c r="AT10" s="9"/>
      <c r="AU10" s="9"/>
      <c r="AV10" s="9"/>
      <c r="AW10" s="9"/>
      <c r="AX10" s="9"/>
      <c r="AY10" s="9"/>
      <c r="AZ10" s="9"/>
      <c r="BA10" s="6"/>
      <c r="BB10" s="6"/>
      <c r="BC10" s="6"/>
      <c r="BD10" s="6"/>
      <c r="BE10" s="6"/>
      <c r="BF10" s="6"/>
      <c r="BG10" s="6"/>
      <c r="BH10" s="6"/>
      <c r="BI10" s="6"/>
      <c r="BJ10" s="6"/>
      <c r="BK10" s="6"/>
      <c r="BL10" s="6"/>
      <c r="BM10" s="6"/>
      <c r="BN10" s="6"/>
      <c r="BO10" s="6"/>
      <c r="BP10" s="6"/>
      <c r="BQ10" s="6"/>
      <c r="BR10" s="6"/>
      <c r="BS10" s="6"/>
      <c r="BT10" s="6"/>
      <c r="BU10" s="6"/>
      <c r="BV10" s="6"/>
    </row>
    <row r="11" ht="15.75" customHeight="1">
      <c r="A11" s="12"/>
      <c r="B11" s="8"/>
      <c r="C11" s="6" t="s">
        <v>206</v>
      </c>
      <c r="D11" s="9">
        <v>1.0</v>
      </c>
      <c r="E11" s="6" t="s">
        <v>207</v>
      </c>
      <c r="F11" s="9">
        <v>1.0</v>
      </c>
      <c r="G11" s="9" t="s">
        <v>208</v>
      </c>
      <c r="H11" s="9">
        <v>1.0</v>
      </c>
      <c r="I11" s="10" t="s">
        <v>209</v>
      </c>
      <c r="J11" s="9">
        <v>1.0</v>
      </c>
      <c r="K11" s="10" t="s">
        <v>210</v>
      </c>
      <c r="L11" s="9">
        <v>0.0</v>
      </c>
      <c r="M11" s="10" t="s">
        <v>211</v>
      </c>
      <c r="N11" s="9">
        <v>1.0</v>
      </c>
      <c r="O11" s="9"/>
      <c r="P11" s="9"/>
      <c r="Q11" s="9"/>
      <c r="R11" s="9"/>
      <c r="S11" s="9" t="s">
        <v>212</v>
      </c>
      <c r="T11" s="9">
        <v>1.0</v>
      </c>
      <c r="U11" s="9" t="s">
        <v>213</v>
      </c>
      <c r="V11" s="9">
        <v>1.0</v>
      </c>
      <c r="W11" s="9"/>
      <c r="X11" s="9"/>
      <c r="Y11" s="9" t="s">
        <v>214</v>
      </c>
      <c r="Z11" s="9">
        <v>1.0</v>
      </c>
      <c r="AA11" s="11" t="s">
        <v>215</v>
      </c>
      <c r="AB11" s="9">
        <v>1.0</v>
      </c>
      <c r="AC11" s="9" t="s">
        <v>216</v>
      </c>
      <c r="AD11" s="9">
        <v>1.0</v>
      </c>
      <c r="AE11" s="9"/>
      <c r="AF11" s="9"/>
      <c r="AG11" s="9"/>
      <c r="AH11" s="9"/>
      <c r="AI11" s="9" t="s">
        <v>217</v>
      </c>
      <c r="AJ11" s="9">
        <v>1.0</v>
      </c>
      <c r="AK11" s="9"/>
      <c r="AL11" s="9"/>
      <c r="AM11" s="10" t="s">
        <v>218</v>
      </c>
      <c r="AN11" s="9">
        <v>1.0</v>
      </c>
      <c r="AO11" s="9"/>
      <c r="AP11" s="9"/>
      <c r="AQ11" s="9"/>
      <c r="AR11" s="9"/>
      <c r="AS11" s="9"/>
      <c r="AT11" s="9"/>
      <c r="AU11" s="9"/>
      <c r="AV11" s="9"/>
      <c r="AW11" s="9"/>
      <c r="AX11" s="9"/>
      <c r="AY11" s="9"/>
      <c r="AZ11" s="9"/>
      <c r="BA11" s="6"/>
      <c r="BB11" s="6"/>
      <c r="BC11" s="6"/>
      <c r="BD11" s="6"/>
      <c r="BE11" s="6"/>
      <c r="BF11" s="6"/>
      <c r="BG11" s="6"/>
      <c r="BH11" s="6"/>
      <c r="BI11" s="6"/>
      <c r="BJ11" s="6"/>
      <c r="BK11" s="6"/>
      <c r="BL11" s="6"/>
      <c r="BM11" s="6"/>
      <c r="BN11" s="6"/>
      <c r="BO11" s="6"/>
      <c r="BP11" s="6"/>
      <c r="BQ11" s="6"/>
      <c r="BR11" s="6"/>
      <c r="BS11" s="6"/>
      <c r="BT11" s="6"/>
      <c r="BU11" s="6"/>
      <c r="BV11" s="6"/>
    </row>
    <row r="12" ht="15.75" customHeight="1">
      <c r="A12" s="12"/>
      <c r="B12" s="8"/>
      <c r="C12" s="6" t="s">
        <v>219</v>
      </c>
      <c r="D12" s="9">
        <v>1.0</v>
      </c>
      <c r="E12" s="6" t="s">
        <v>220</v>
      </c>
      <c r="F12" s="9">
        <v>1.0</v>
      </c>
      <c r="G12" s="9" t="s">
        <v>221</v>
      </c>
      <c r="H12" s="9">
        <v>0.0</v>
      </c>
      <c r="I12" s="10" t="s">
        <v>222</v>
      </c>
      <c r="J12" s="9">
        <v>1.0</v>
      </c>
      <c r="K12" s="10" t="s">
        <v>223</v>
      </c>
      <c r="L12" s="9">
        <v>1.0</v>
      </c>
      <c r="M12" s="10" t="s">
        <v>224</v>
      </c>
      <c r="N12" s="9">
        <v>1.0</v>
      </c>
      <c r="O12" s="9"/>
      <c r="P12" s="9"/>
      <c r="Q12" s="9"/>
      <c r="R12" s="9"/>
      <c r="S12" s="9" t="s">
        <v>225</v>
      </c>
      <c r="T12" s="9">
        <v>1.0</v>
      </c>
      <c r="U12" s="9" t="s">
        <v>151</v>
      </c>
      <c r="V12" s="9">
        <v>1.0</v>
      </c>
      <c r="W12" s="9"/>
      <c r="X12" s="9"/>
      <c r="Y12" s="9" t="s">
        <v>226</v>
      </c>
      <c r="Z12" s="9">
        <v>1.0</v>
      </c>
      <c r="AA12" s="11" t="s">
        <v>227</v>
      </c>
      <c r="AB12" s="9">
        <v>1.0</v>
      </c>
      <c r="AC12" s="9" t="s">
        <v>228</v>
      </c>
      <c r="AD12" s="9">
        <v>1.0</v>
      </c>
      <c r="AE12" s="9"/>
      <c r="AF12" s="9"/>
      <c r="AG12" s="9"/>
      <c r="AH12" s="9"/>
      <c r="AI12" s="9" t="s">
        <v>229</v>
      </c>
      <c r="AJ12" s="9">
        <v>1.0</v>
      </c>
      <c r="AK12" s="9"/>
      <c r="AL12" s="9"/>
      <c r="AM12" s="10" t="s">
        <v>230</v>
      </c>
      <c r="AN12" s="9">
        <v>1.0</v>
      </c>
      <c r="AO12" s="9"/>
      <c r="AP12" s="9"/>
      <c r="AQ12" s="9"/>
      <c r="AR12" s="9"/>
      <c r="AS12" s="9"/>
      <c r="AT12" s="9"/>
      <c r="AU12" s="9"/>
      <c r="AV12" s="9"/>
      <c r="AW12" s="9"/>
      <c r="AX12" s="9"/>
      <c r="AY12" s="9"/>
      <c r="AZ12" s="9"/>
      <c r="BA12" s="6"/>
      <c r="BB12" s="6"/>
      <c r="BC12" s="6"/>
      <c r="BD12" s="6"/>
      <c r="BE12" s="6"/>
      <c r="BF12" s="6"/>
      <c r="BG12" s="6"/>
      <c r="BH12" s="6"/>
      <c r="BI12" s="6"/>
      <c r="BJ12" s="6"/>
      <c r="BK12" s="6"/>
      <c r="BL12" s="6"/>
      <c r="BM12" s="6"/>
      <c r="BN12" s="6"/>
      <c r="BO12" s="6"/>
      <c r="BP12" s="6"/>
      <c r="BQ12" s="6"/>
      <c r="BR12" s="6"/>
      <c r="BS12" s="6"/>
      <c r="BT12" s="6"/>
      <c r="BU12" s="6"/>
      <c r="BV12" s="6"/>
    </row>
    <row r="13" ht="15.75" customHeight="1">
      <c r="A13" s="12"/>
      <c r="B13" s="8"/>
      <c r="C13" s="6" t="s">
        <v>231</v>
      </c>
      <c r="D13" s="9">
        <v>1.0</v>
      </c>
      <c r="E13" s="6" t="s">
        <v>232</v>
      </c>
      <c r="F13" s="9">
        <v>1.0</v>
      </c>
      <c r="G13" s="9" t="s">
        <v>233</v>
      </c>
      <c r="H13" s="9">
        <v>1.0</v>
      </c>
      <c r="I13" s="10" t="s">
        <v>234</v>
      </c>
      <c r="J13" s="9">
        <v>1.0</v>
      </c>
      <c r="K13" s="10" t="s">
        <v>235</v>
      </c>
      <c r="L13" s="9">
        <v>1.0</v>
      </c>
      <c r="M13" s="10" t="s">
        <v>236</v>
      </c>
      <c r="N13" s="9">
        <v>1.0</v>
      </c>
      <c r="O13" s="9"/>
      <c r="P13" s="9"/>
      <c r="Q13" s="9"/>
      <c r="R13" s="9"/>
      <c r="S13" s="10" t="s">
        <v>237</v>
      </c>
      <c r="T13" s="9">
        <v>1.0</v>
      </c>
      <c r="U13" s="9" t="s">
        <v>238</v>
      </c>
      <c r="V13" s="9">
        <v>1.0</v>
      </c>
      <c r="W13" s="9"/>
      <c r="X13" s="9"/>
      <c r="Y13" s="9" t="s">
        <v>239</v>
      </c>
      <c r="Z13" s="9">
        <v>1.0</v>
      </c>
      <c r="AA13" s="11" t="s">
        <v>240</v>
      </c>
      <c r="AB13" s="9">
        <v>1.0</v>
      </c>
      <c r="AC13" s="9" t="s">
        <v>241</v>
      </c>
      <c r="AD13" s="9">
        <v>1.0</v>
      </c>
      <c r="AE13" s="9"/>
      <c r="AF13" s="9"/>
      <c r="AG13" s="9"/>
      <c r="AH13" s="9"/>
      <c r="AI13" s="9" t="s">
        <v>242</v>
      </c>
      <c r="AJ13" s="9">
        <v>1.0</v>
      </c>
      <c r="AK13" s="9"/>
      <c r="AL13" s="9"/>
      <c r="AM13" s="10" t="s">
        <v>243</v>
      </c>
      <c r="AN13" s="9">
        <v>0.0</v>
      </c>
      <c r="AO13" s="9"/>
      <c r="AP13" s="9"/>
      <c r="AQ13" s="9"/>
      <c r="AR13" s="9"/>
      <c r="AS13" s="9"/>
      <c r="AT13" s="9"/>
      <c r="AU13" s="9"/>
      <c r="AV13" s="9"/>
      <c r="AW13" s="9"/>
      <c r="AX13" s="9"/>
      <c r="AY13" s="9"/>
      <c r="AZ13" s="9"/>
      <c r="BA13" s="6"/>
      <c r="BB13" s="6"/>
      <c r="BC13" s="6"/>
      <c r="BD13" s="6"/>
      <c r="BE13" s="6"/>
      <c r="BF13" s="6"/>
      <c r="BG13" s="6"/>
      <c r="BH13" s="6"/>
      <c r="BI13" s="6"/>
      <c r="BJ13" s="6"/>
      <c r="BK13" s="6"/>
      <c r="BL13" s="6"/>
      <c r="BM13" s="6"/>
      <c r="BN13" s="6"/>
      <c r="BO13" s="6"/>
      <c r="BP13" s="6"/>
      <c r="BQ13" s="6"/>
      <c r="BR13" s="6"/>
      <c r="BS13" s="6"/>
      <c r="BT13" s="6"/>
      <c r="BU13" s="6"/>
      <c r="BV13" s="6"/>
    </row>
    <row r="14" ht="15.75" customHeight="1">
      <c r="A14" s="12"/>
      <c r="B14" s="8"/>
      <c r="C14" s="6" t="s">
        <v>244</v>
      </c>
      <c r="D14" s="9">
        <v>1.0</v>
      </c>
      <c r="E14" s="6" t="s">
        <v>245</v>
      </c>
      <c r="F14" s="9">
        <v>1.0</v>
      </c>
      <c r="G14" s="9" t="s">
        <v>246</v>
      </c>
      <c r="H14" s="9">
        <v>1.0</v>
      </c>
      <c r="I14" s="10" t="s">
        <v>247</v>
      </c>
      <c r="J14" s="9">
        <v>1.0</v>
      </c>
      <c r="K14" s="10" t="s">
        <v>248</v>
      </c>
      <c r="L14" s="9">
        <v>1.0</v>
      </c>
      <c r="M14" s="10" t="s">
        <v>249</v>
      </c>
      <c r="N14" s="9">
        <v>1.0</v>
      </c>
      <c r="O14" s="9"/>
      <c r="P14" s="9"/>
      <c r="Q14" s="9"/>
      <c r="R14" s="9"/>
      <c r="S14" s="9" t="s">
        <v>250</v>
      </c>
      <c r="T14" s="9">
        <v>1.0</v>
      </c>
      <c r="U14" s="9" t="s">
        <v>251</v>
      </c>
      <c r="V14" s="9">
        <v>1.0</v>
      </c>
      <c r="W14" s="9"/>
      <c r="X14" s="9"/>
      <c r="Y14" s="9"/>
      <c r="Z14" s="9"/>
      <c r="AA14" s="11" t="s">
        <v>252</v>
      </c>
      <c r="AB14" s="9">
        <v>1.0</v>
      </c>
      <c r="AC14" s="9" t="s">
        <v>253</v>
      </c>
      <c r="AD14" s="9">
        <v>1.0</v>
      </c>
      <c r="AE14" s="9"/>
      <c r="AF14" s="9"/>
      <c r="AG14" s="9"/>
      <c r="AH14" s="9"/>
      <c r="AI14" s="9" t="s">
        <v>254</v>
      </c>
      <c r="AJ14" s="9">
        <v>1.0</v>
      </c>
      <c r="AK14" s="9"/>
      <c r="AL14" s="9"/>
      <c r="AM14" s="10" t="s">
        <v>255</v>
      </c>
      <c r="AN14" s="9">
        <v>1.0</v>
      </c>
      <c r="AO14" s="9"/>
      <c r="AP14" s="9"/>
      <c r="AQ14" s="9"/>
      <c r="AR14" s="9"/>
      <c r="AS14" s="9"/>
      <c r="AT14" s="9"/>
      <c r="AU14" s="9"/>
      <c r="AV14" s="9"/>
      <c r="AW14" s="9"/>
      <c r="AX14" s="9"/>
      <c r="AY14" s="9"/>
      <c r="AZ14" s="9"/>
      <c r="BA14" s="6"/>
      <c r="BB14" s="6"/>
      <c r="BC14" s="6"/>
      <c r="BD14" s="6"/>
      <c r="BE14" s="6"/>
      <c r="BF14" s="6"/>
      <c r="BG14" s="6"/>
      <c r="BH14" s="6"/>
      <c r="BI14" s="6"/>
      <c r="BJ14" s="6"/>
      <c r="BK14" s="6"/>
      <c r="BL14" s="6"/>
      <c r="BM14" s="6"/>
      <c r="BN14" s="6"/>
      <c r="BO14" s="6"/>
      <c r="BP14" s="6"/>
      <c r="BQ14" s="6"/>
      <c r="BR14" s="6"/>
      <c r="BS14" s="6"/>
      <c r="BT14" s="6"/>
      <c r="BU14" s="6"/>
      <c r="BV14" s="6"/>
    </row>
    <row r="15" ht="15.75" customHeight="1">
      <c r="A15" s="12"/>
      <c r="B15" s="8"/>
      <c r="C15" s="6" t="s">
        <v>256</v>
      </c>
      <c r="D15" s="9">
        <v>1.0</v>
      </c>
      <c r="E15" s="6" t="s">
        <v>257</v>
      </c>
      <c r="F15" s="9">
        <v>1.0</v>
      </c>
      <c r="G15" s="9" t="s">
        <v>258</v>
      </c>
      <c r="H15" s="9">
        <v>1.0</v>
      </c>
      <c r="I15" s="9"/>
      <c r="J15" s="9"/>
      <c r="K15" s="10" t="s">
        <v>259</v>
      </c>
      <c r="L15" s="9">
        <v>1.0</v>
      </c>
      <c r="M15" s="10" t="s">
        <v>260</v>
      </c>
      <c r="N15" s="9">
        <v>1.0</v>
      </c>
      <c r="O15" s="9"/>
      <c r="P15" s="9"/>
      <c r="Q15" s="9"/>
      <c r="R15" s="9"/>
      <c r="S15" s="9" t="s">
        <v>261</v>
      </c>
      <c r="T15" s="9">
        <v>1.0</v>
      </c>
      <c r="U15" s="9" t="s">
        <v>262</v>
      </c>
      <c r="V15" s="9">
        <v>1.0</v>
      </c>
      <c r="W15" s="9"/>
      <c r="X15" s="9"/>
      <c r="Y15" s="9"/>
      <c r="Z15" s="9"/>
      <c r="AA15" s="11" t="s">
        <v>263</v>
      </c>
      <c r="AB15" s="9">
        <v>1.0</v>
      </c>
      <c r="AC15" s="9" t="s">
        <v>264</v>
      </c>
      <c r="AD15" s="9">
        <v>1.0</v>
      </c>
      <c r="AE15" s="9"/>
      <c r="AF15" s="9"/>
      <c r="AG15" s="9"/>
      <c r="AH15" s="9"/>
      <c r="AI15" s="9"/>
      <c r="AJ15" s="9"/>
      <c r="AK15" s="9"/>
      <c r="AL15" s="9"/>
      <c r="AM15" s="10" t="s">
        <v>265</v>
      </c>
      <c r="AN15" s="9">
        <v>1.0</v>
      </c>
      <c r="AO15" s="9"/>
      <c r="AP15" s="9"/>
      <c r="AQ15" s="9"/>
      <c r="AR15" s="9"/>
      <c r="AS15" s="9"/>
      <c r="AT15" s="9"/>
      <c r="AU15" s="9"/>
      <c r="AV15" s="9"/>
      <c r="AW15" s="9"/>
      <c r="AX15" s="9"/>
      <c r="AY15" s="9"/>
      <c r="AZ15" s="9"/>
      <c r="BA15" s="6"/>
      <c r="BB15" s="6"/>
      <c r="BC15" s="6"/>
      <c r="BD15" s="6"/>
      <c r="BE15" s="6"/>
      <c r="BF15" s="6"/>
      <c r="BG15" s="6"/>
      <c r="BH15" s="6"/>
      <c r="BI15" s="6"/>
      <c r="BJ15" s="6"/>
      <c r="BK15" s="6"/>
      <c r="BL15" s="6"/>
      <c r="BM15" s="6"/>
      <c r="BN15" s="6"/>
      <c r="BO15" s="6"/>
      <c r="BP15" s="6"/>
      <c r="BQ15" s="6"/>
      <c r="BR15" s="6"/>
      <c r="BS15" s="6"/>
      <c r="BT15" s="6"/>
      <c r="BU15" s="6"/>
      <c r="BV15" s="6"/>
    </row>
    <row r="16" ht="15.75" customHeight="1">
      <c r="A16" s="12"/>
      <c r="B16" s="8"/>
      <c r="C16" s="6" t="s">
        <v>266</v>
      </c>
      <c r="D16" s="9">
        <v>1.0</v>
      </c>
      <c r="E16" s="6" t="s">
        <v>267</v>
      </c>
      <c r="F16" s="9">
        <v>1.0</v>
      </c>
      <c r="G16" s="9" t="s">
        <v>268</v>
      </c>
      <c r="H16" s="9">
        <v>1.0</v>
      </c>
      <c r="I16" s="9"/>
      <c r="J16" s="9"/>
      <c r="K16" s="10" t="s">
        <v>269</v>
      </c>
      <c r="L16" s="9">
        <v>1.0</v>
      </c>
      <c r="M16" s="10" t="s">
        <v>270</v>
      </c>
      <c r="N16" s="9">
        <v>1.0</v>
      </c>
      <c r="O16" s="9"/>
      <c r="P16" s="9"/>
      <c r="Q16" s="9"/>
      <c r="R16" s="9"/>
      <c r="S16" s="9" t="s">
        <v>271</v>
      </c>
      <c r="T16" s="9">
        <v>1.0</v>
      </c>
      <c r="U16" s="9" t="s">
        <v>272</v>
      </c>
      <c r="V16" s="9">
        <v>1.0</v>
      </c>
      <c r="W16" s="9"/>
      <c r="X16" s="9"/>
      <c r="Y16" s="9"/>
      <c r="Z16" s="9"/>
      <c r="AA16" s="11" t="s">
        <v>273</v>
      </c>
      <c r="AB16" s="9">
        <v>1.0</v>
      </c>
      <c r="AC16" s="9" t="s">
        <v>274</v>
      </c>
      <c r="AD16" s="9">
        <v>1.0</v>
      </c>
      <c r="AE16" s="9"/>
      <c r="AF16" s="9"/>
      <c r="AG16" s="9"/>
      <c r="AH16" s="9"/>
      <c r="AI16" s="9"/>
      <c r="AJ16" s="9"/>
      <c r="AK16" s="9"/>
      <c r="AL16" s="9"/>
      <c r="AM16" s="10" t="s">
        <v>275</v>
      </c>
      <c r="AN16" s="9">
        <v>1.0</v>
      </c>
      <c r="AO16" s="9"/>
      <c r="AP16" s="9"/>
      <c r="AQ16" s="9"/>
      <c r="AR16" s="9"/>
      <c r="AS16" s="9"/>
      <c r="AT16" s="9"/>
      <c r="AU16" s="9"/>
      <c r="AV16" s="9"/>
      <c r="AW16" s="9"/>
      <c r="AX16" s="9"/>
      <c r="AY16" s="9"/>
      <c r="AZ16" s="9"/>
      <c r="BA16" s="6"/>
      <c r="BB16" s="6"/>
      <c r="BC16" s="6"/>
      <c r="BD16" s="6"/>
      <c r="BE16" s="6"/>
      <c r="BF16" s="6"/>
      <c r="BG16" s="6"/>
      <c r="BH16" s="6"/>
      <c r="BI16" s="6"/>
      <c r="BJ16" s="6"/>
      <c r="BK16" s="6"/>
      <c r="BL16" s="6"/>
      <c r="BM16" s="6"/>
      <c r="BN16" s="6"/>
      <c r="BO16" s="6"/>
      <c r="BP16" s="6"/>
      <c r="BQ16" s="6"/>
      <c r="BR16" s="6"/>
      <c r="BS16" s="6"/>
      <c r="BT16" s="6"/>
      <c r="BU16" s="6"/>
      <c r="BV16" s="6"/>
    </row>
    <row r="17" ht="15.75" customHeight="1">
      <c r="A17" s="12"/>
      <c r="B17" s="8"/>
      <c r="C17" s="6" t="s">
        <v>276</v>
      </c>
      <c r="D17" s="9">
        <v>1.0</v>
      </c>
      <c r="E17" s="6" t="s">
        <v>277</v>
      </c>
      <c r="F17" s="9">
        <v>1.0</v>
      </c>
      <c r="G17" s="9" t="s">
        <v>278</v>
      </c>
      <c r="H17" s="9">
        <v>1.0</v>
      </c>
      <c r="I17" s="9"/>
      <c r="J17" s="9"/>
      <c r="K17" s="10" t="s">
        <v>279</v>
      </c>
      <c r="L17" s="9">
        <v>1.0</v>
      </c>
      <c r="M17" s="10" t="s">
        <v>280</v>
      </c>
      <c r="N17" s="9">
        <v>1.0</v>
      </c>
      <c r="O17" s="9"/>
      <c r="P17" s="9"/>
      <c r="Q17" s="9"/>
      <c r="R17" s="9"/>
      <c r="S17" s="9" t="s">
        <v>281</v>
      </c>
      <c r="T17" s="9">
        <v>1.0</v>
      </c>
      <c r="U17" s="9" t="s">
        <v>282</v>
      </c>
      <c r="V17" s="9">
        <v>1.0</v>
      </c>
      <c r="W17" s="9"/>
      <c r="X17" s="9"/>
      <c r="Y17" s="9"/>
      <c r="Z17" s="9"/>
      <c r="AA17" s="11" t="s">
        <v>283</v>
      </c>
      <c r="AB17" s="9">
        <v>1.0</v>
      </c>
      <c r="AC17" s="9" t="s">
        <v>284</v>
      </c>
      <c r="AD17" s="9">
        <v>1.0</v>
      </c>
      <c r="AE17" s="9"/>
      <c r="AF17" s="9"/>
      <c r="AG17" s="9"/>
      <c r="AH17" s="9"/>
      <c r="AI17" s="9"/>
      <c r="AJ17" s="9"/>
      <c r="AK17" s="9"/>
      <c r="AL17" s="9"/>
      <c r="AM17" s="10" t="s">
        <v>285</v>
      </c>
      <c r="AN17" s="9">
        <v>1.0</v>
      </c>
      <c r="AO17" s="9"/>
      <c r="AP17" s="9"/>
      <c r="AQ17" s="9"/>
      <c r="AR17" s="9"/>
      <c r="AS17" s="9"/>
      <c r="AT17" s="9"/>
      <c r="AU17" s="9"/>
      <c r="AV17" s="9"/>
      <c r="AW17" s="9"/>
      <c r="AX17" s="9"/>
      <c r="AY17" s="9"/>
      <c r="AZ17" s="9"/>
      <c r="BA17" s="6"/>
      <c r="BB17" s="6"/>
      <c r="BC17" s="6"/>
      <c r="BD17" s="6"/>
      <c r="BE17" s="6"/>
      <c r="BF17" s="6"/>
      <c r="BG17" s="6"/>
      <c r="BH17" s="6"/>
      <c r="BI17" s="6"/>
      <c r="BJ17" s="6"/>
      <c r="BK17" s="6"/>
      <c r="BL17" s="6"/>
      <c r="BM17" s="6"/>
      <c r="BN17" s="6"/>
      <c r="BO17" s="6"/>
      <c r="BP17" s="6"/>
      <c r="BQ17" s="6"/>
      <c r="BR17" s="6"/>
      <c r="BS17" s="6"/>
      <c r="BT17" s="6"/>
      <c r="BU17" s="6"/>
      <c r="BV17" s="6"/>
    </row>
    <row r="18">
      <c r="A18" s="12"/>
      <c r="B18" s="8"/>
      <c r="C18" s="6" t="s">
        <v>286</v>
      </c>
      <c r="D18" s="9">
        <v>1.0</v>
      </c>
      <c r="E18" s="6" t="s">
        <v>287</v>
      </c>
      <c r="F18" s="9">
        <v>1.0</v>
      </c>
      <c r="G18" s="9" t="s">
        <v>288</v>
      </c>
      <c r="H18" s="9">
        <v>1.0</v>
      </c>
      <c r="I18" s="9"/>
      <c r="J18" s="9"/>
      <c r="K18" s="10" t="s">
        <v>289</v>
      </c>
      <c r="L18" s="9">
        <v>1.0</v>
      </c>
      <c r="M18" s="10" t="s">
        <v>290</v>
      </c>
      <c r="N18" s="9">
        <v>1.0</v>
      </c>
      <c r="O18" s="9"/>
      <c r="P18" s="9"/>
      <c r="Q18" s="9"/>
      <c r="R18" s="9"/>
      <c r="S18" s="9" t="s">
        <v>291</v>
      </c>
      <c r="T18" s="9">
        <v>1.0</v>
      </c>
      <c r="U18" s="9" t="s">
        <v>292</v>
      </c>
      <c r="V18" s="9">
        <v>1.0</v>
      </c>
      <c r="W18" s="9"/>
      <c r="X18" s="9"/>
      <c r="Y18" s="9"/>
      <c r="Z18" s="9"/>
      <c r="AA18" s="11" t="s">
        <v>293</v>
      </c>
      <c r="AB18" s="9">
        <v>1.0</v>
      </c>
      <c r="AC18" s="9" t="s">
        <v>294</v>
      </c>
      <c r="AD18" s="9">
        <v>0.0</v>
      </c>
      <c r="AE18" s="9"/>
      <c r="AF18" s="9"/>
      <c r="AG18" s="9"/>
      <c r="AH18" s="9"/>
      <c r="AI18" s="9"/>
      <c r="AJ18" s="9"/>
      <c r="AK18" s="9"/>
      <c r="AL18" s="9"/>
      <c r="AM18" s="10" t="s">
        <v>295</v>
      </c>
      <c r="AN18" s="9">
        <v>1.0</v>
      </c>
      <c r="AO18" s="9"/>
      <c r="AP18" s="9"/>
      <c r="AQ18" s="9"/>
      <c r="AR18" s="9"/>
      <c r="AS18" s="9"/>
      <c r="AT18" s="9"/>
      <c r="AU18" s="9"/>
      <c r="AV18" s="9"/>
      <c r="AW18" s="9"/>
      <c r="AX18" s="9"/>
      <c r="AY18" s="9"/>
      <c r="AZ18" s="9"/>
      <c r="BA18" s="6"/>
      <c r="BB18" s="6"/>
      <c r="BC18" s="6"/>
      <c r="BD18" s="6"/>
      <c r="BE18" s="6"/>
      <c r="BF18" s="6"/>
      <c r="BG18" s="6"/>
      <c r="BH18" s="6"/>
      <c r="BI18" s="6"/>
      <c r="BJ18" s="6"/>
      <c r="BK18" s="6"/>
      <c r="BL18" s="6"/>
      <c r="BM18" s="6"/>
      <c r="BN18" s="6"/>
      <c r="BO18" s="6"/>
      <c r="BP18" s="6"/>
      <c r="BQ18" s="6"/>
      <c r="BR18" s="6"/>
      <c r="BS18" s="6"/>
      <c r="BT18" s="6"/>
      <c r="BU18" s="6"/>
      <c r="BV18" s="6"/>
    </row>
    <row r="19">
      <c r="A19" s="12"/>
      <c r="B19" s="8"/>
      <c r="C19" s="6" t="s">
        <v>296</v>
      </c>
      <c r="D19" s="9">
        <v>1.0</v>
      </c>
      <c r="E19" s="6" t="s">
        <v>297</v>
      </c>
      <c r="F19" s="9">
        <v>1.0</v>
      </c>
      <c r="G19" s="9" t="s">
        <v>298</v>
      </c>
      <c r="H19" s="9">
        <v>1.0</v>
      </c>
      <c r="I19" s="9"/>
      <c r="J19" s="9"/>
      <c r="K19" s="10" t="s">
        <v>299</v>
      </c>
      <c r="L19" s="9">
        <v>1.0</v>
      </c>
      <c r="M19" s="10" t="s">
        <v>300</v>
      </c>
      <c r="N19" s="9">
        <v>1.0</v>
      </c>
      <c r="O19" s="9"/>
      <c r="P19" s="9"/>
      <c r="Q19" s="9"/>
      <c r="R19" s="9"/>
      <c r="S19" s="9" t="s">
        <v>301</v>
      </c>
      <c r="T19" s="9">
        <v>1.0</v>
      </c>
      <c r="U19" s="9" t="s">
        <v>302</v>
      </c>
      <c r="V19" s="9">
        <v>1.0</v>
      </c>
      <c r="W19" s="9"/>
      <c r="X19" s="9"/>
      <c r="Y19" s="9"/>
      <c r="Z19" s="9"/>
      <c r="AA19" s="9"/>
      <c r="AB19" s="9"/>
      <c r="AC19" s="9" t="s">
        <v>303</v>
      </c>
      <c r="AD19" s="9">
        <v>1.0</v>
      </c>
      <c r="AE19" s="9"/>
      <c r="AF19" s="9"/>
      <c r="AG19" s="9"/>
      <c r="AH19" s="9"/>
      <c r="AI19" s="9"/>
      <c r="AJ19" s="9"/>
      <c r="AK19" s="9"/>
      <c r="AL19" s="9"/>
      <c r="AM19" s="10" t="s">
        <v>304</v>
      </c>
      <c r="AN19" s="9">
        <v>1.0</v>
      </c>
      <c r="AO19" s="9"/>
      <c r="AP19" s="9"/>
      <c r="AQ19" s="9"/>
      <c r="AR19" s="9"/>
      <c r="AS19" s="9"/>
      <c r="AT19" s="9"/>
      <c r="AU19" s="9"/>
      <c r="AV19" s="9"/>
      <c r="AW19" s="9"/>
      <c r="AX19" s="9"/>
      <c r="AY19" s="9"/>
      <c r="AZ19" s="9"/>
      <c r="BA19" s="6"/>
      <c r="BB19" s="6"/>
      <c r="BC19" s="6"/>
      <c r="BD19" s="6"/>
      <c r="BE19" s="6"/>
      <c r="BF19" s="6"/>
      <c r="BG19" s="6"/>
      <c r="BH19" s="6"/>
      <c r="BI19" s="6"/>
      <c r="BJ19" s="6"/>
      <c r="BK19" s="6"/>
      <c r="BL19" s="6"/>
      <c r="BM19" s="6"/>
      <c r="BN19" s="6"/>
      <c r="BO19" s="6"/>
      <c r="BP19" s="6"/>
      <c r="BQ19" s="6"/>
      <c r="BR19" s="6"/>
      <c r="BS19" s="6"/>
      <c r="BT19" s="6"/>
      <c r="BU19" s="6"/>
      <c r="BV19" s="6"/>
    </row>
    <row r="20">
      <c r="A20" s="12"/>
      <c r="B20" s="8"/>
      <c r="C20" s="6" t="s">
        <v>305</v>
      </c>
      <c r="D20" s="9">
        <v>1.0</v>
      </c>
      <c r="E20" s="6" t="s">
        <v>306</v>
      </c>
      <c r="F20" s="9">
        <v>1.0</v>
      </c>
      <c r="G20" s="9" t="s">
        <v>307</v>
      </c>
      <c r="H20" s="9">
        <v>1.0</v>
      </c>
      <c r="I20" s="9"/>
      <c r="J20" s="9"/>
      <c r="K20" s="10" t="s">
        <v>308</v>
      </c>
      <c r="L20" s="9">
        <v>1.0</v>
      </c>
      <c r="M20" s="10" t="s">
        <v>309</v>
      </c>
      <c r="N20" s="9">
        <v>1.0</v>
      </c>
      <c r="O20" s="9"/>
      <c r="P20" s="9"/>
      <c r="Q20" s="9"/>
      <c r="R20" s="9"/>
      <c r="S20" s="9" t="s">
        <v>310</v>
      </c>
      <c r="T20" s="9">
        <v>1.0</v>
      </c>
      <c r="U20" s="9" t="s">
        <v>311</v>
      </c>
      <c r="V20" s="9">
        <v>1.0</v>
      </c>
      <c r="W20" s="9"/>
      <c r="X20" s="9"/>
      <c r="Y20" s="9"/>
      <c r="Z20" s="9"/>
      <c r="AA20" s="9"/>
      <c r="AB20" s="9"/>
      <c r="AC20" s="9" t="s">
        <v>312</v>
      </c>
      <c r="AD20" s="9">
        <v>1.0</v>
      </c>
      <c r="AE20" s="9"/>
      <c r="AF20" s="9"/>
      <c r="AG20" s="9"/>
      <c r="AH20" s="9"/>
      <c r="AI20" s="9"/>
      <c r="AJ20" s="9"/>
      <c r="AK20" s="9"/>
      <c r="AL20" s="9"/>
      <c r="AM20" s="10" t="s">
        <v>313</v>
      </c>
      <c r="AN20" s="9">
        <v>1.0</v>
      </c>
      <c r="AO20" s="9"/>
      <c r="AP20" s="9"/>
      <c r="AQ20" s="9"/>
      <c r="AR20" s="9"/>
      <c r="AS20" s="9"/>
      <c r="AT20" s="9"/>
      <c r="AU20" s="9"/>
      <c r="AV20" s="9"/>
      <c r="AW20" s="9"/>
      <c r="AX20" s="9"/>
      <c r="AY20" s="9"/>
      <c r="AZ20" s="9"/>
      <c r="BA20" s="6"/>
      <c r="BB20" s="6"/>
      <c r="BC20" s="6"/>
      <c r="BD20" s="6"/>
      <c r="BE20" s="6"/>
      <c r="BF20" s="6"/>
      <c r="BG20" s="6"/>
      <c r="BH20" s="6"/>
      <c r="BI20" s="6"/>
      <c r="BJ20" s="6"/>
      <c r="BK20" s="6"/>
      <c r="BL20" s="6"/>
      <c r="BM20" s="6"/>
      <c r="BN20" s="6"/>
      <c r="BO20" s="6"/>
      <c r="BP20" s="6"/>
      <c r="BQ20" s="6"/>
      <c r="BR20" s="6"/>
      <c r="BS20" s="6"/>
      <c r="BT20" s="6"/>
      <c r="BU20" s="6"/>
      <c r="BV20" s="6"/>
    </row>
    <row r="21">
      <c r="A21" s="12"/>
      <c r="B21" s="8"/>
      <c r="C21" s="6" t="s">
        <v>314</v>
      </c>
      <c r="D21" s="9">
        <v>1.0</v>
      </c>
      <c r="E21" s="6" t="s">
        <v>315</v>
      </c>
      <c r="F21" s="9">
        <v>1.0</v>
      </c>
      <c r="G21" s="9" t="s">
        <v>316</v>
      </c>
      <c r="H21" s="9">
        <v>1.0</v>
      </c>
      <c r="I21" s="9"/>
      <c r="J21" s="9"/>
      <c r="K21" s="10" t="s">
        <v>317</v>
      </c>
      <c r="L21" s="9">
        <v>1.0</v>
      </c>
      <c r="M21" s="10" t="s">
        <v>318</v>
      </c>
      <c r="N21" s="9">
        <v>1.0</v>
      </c>
      <c r="O21" s="9"/>
      <c r="P21" s="9"/>
      <c r="Q21" s="9"/>
      <c r="R21" s="9"/>
      <c r="S21" s="9" t="s">
        <v>319</v>
      </c>
      <c r="T21" s="9">
        <v>1.0</v>
      </c>
      <c r="U21" s="9"/>
      <c r="V21" s="9"/>
      <c r="W21" s="9"/>
      <c r="X21" s="9"/>
      <c r="Y21" s="9"/>
      <c r="Z21" s="9"/>
      <c r="AA21" s="9"/>
      <c r="AB21" s="9"/>
      <c r="AC21" s="9" t="s">
        <v>320</v>
      </c>
      <c r="AD21" s="9">
        <v>1.0</v>
      </c>
      <c r="AE21" s="9"/>
      <c r="AF21" s="9"/>
      <c r="AG21" s="9"/>
      <c r="AH21" s="9"/>
      <c r="AI21" s="9"/>
      <c r="AJ21" s="9"/>
      <c r="AK21" s="9"/>
      <c r="AL21" s="9"/>
      <c r="AM21" s="10" t="s">
        <v>321</v>
      </c>
      <c r="AN21" s="9">
        <v>1.0</v>
      </c>
      <c r="AO21" s="9"/>
      <c r="AP21" s="9"/>
      <c r="AQ21" s="9"/>
      <c r="AR21" s="9"/>
      <c r="AS21" s="9"/>
      <c r="AT21" s="9"/>
      <c r="AU21" s="9"/>
      <c r="AV21" s="9"/>
      <c r="AW21" s="9"/>
      <c r="AX21" s="9"/>
      <c r="AY21" s="9"/>
      <c r="AZ21" s="9"/>
      <c r="BA21" s="6"/>
      <c r="BB21" s="6"/>
      <c r="BC21" s="6"/>
      <c r="BD21" s="6"/>
      <c r="BE21" s="6"/>
      <c r="BF21" s="6"/>
      <c r="BG21" s="6"/>
      <c r="BH21" s="6"/>
      <c r="BI21" s="6"/>
      <c r="BJ21" s="6"/>
      <c r="BK21" s="6"/>
      <c r="BL21" s="6"/>
      <c r="BM21" s="6"/>
      <c r="BN21" s="6"/>
      <c r="BO21" s="6"/>
      <c r="BP21" s="6"/>
      <c r="BQ21" s="6"/>
      <c r="BR21" s="6"/>
      <c r="BS21" s="6"/>
      <c r="BT21" s="6"/>
      <c r="BU21" s="6"/>
      <c r="BV21" s="6"/>
    </row>
    <row r="22">
      <c r="A22" s="13"/>
      <c r="B22" s="8"/>
      <c r="C22" s="6" t="s">
        <v>322</v>
      </c>
      <c r="D22" s="9">
        <v>1.0</v>
      </c>
      <c r="E22" s="6" t="s">
        <v>323</v>
      </c>
      <c r="F22" s="9">
        <v>1.0</v>
      </c>
      <c r="G22" s="9" t="s">
        <v>324</v>
      </c>
      <c r="H22" s="9">
        <v>1.0</v>
      </c>
      <c r="I22" s="9"/>
      <c r="J22" s="9"/>
      <c r="K22" s="10" t="s">
        <v>325</v>
      </c>
      <c r="L22" s="9">
        <v>1.0</v>
      </c>
      <c r="M22" s="9"/>
      <c r="N22" s="9"/>
      <c r="O22" s="9"/>
      <c r="P22" s="9"/>
      <c r="Q22" s="9"/>
      <c r="R22" s="9"/>
      <c r="S22" s="9" t="s">
        <v>326</v>
      </c>
      <c r="T22" s="9">
        <v>1.0</v>
      </c>
      <c r="U22" s="9"/>
      <c r="V22" s="9"/>
      <c r="W22" s="9"/>
      <c r="X22" s="9"/>
      <c r="Y22" s="9"/>
      <c r="Z22" s="9"/>
      <c r="AA22" s="9"/>
      <c r="AB22" s="9"/>
      <c r="AC22" s="9" t="s">
        <v>327</v>
      </c>
      <c r="AD22" s="9">
        <v>1.0</v>
      </c>
      <c r="AE22" s="9"/>
      <c r="AF22" s="9"/>
      <c r="AG22" s="9"/>
      <c r="AH22" s="9"/>
      <c r="AI22" s="9"/>
      <c r="AJ22" s="9"/>
      <c r="AK22" s="9"/>
      <c r="AL22" s="9"/>
      <c r="AM22" s="10" t="s">
        <v>328</v>
      </c>
      <c r="AN22" s="9">
        <v>1.0</v>
      </c>
      <c r="AO22" s="9"/>
      <c r="AP22" s="9"/>
      <c r="AQ22" s="9"/>
      <c r="AR22" s="9"/>
      <c r="AS22" s="9"/>
      <c r="AT22" s="9"/>
      <c r="AU22" s="9"/>
      <c r="AV22" s="9"/>
      <c r="AW22" s="9"/>
      <c r="AX22" s="9"/>
      <c r="AY22" s="9"/>
      <c r="AZ22" s="9"/>
      <c r="BA22" s="6"/>
      <c r="BB22" s="6"/>
      <c r="BC22" s="6"/>
      <c r="BD22" s="6"/>
      <c r="BE22" s="6"/>
      <c r="BF22" s="6"/>
      <c r="BG22" s="6"/>
      <c r="BH22" s="6"/>
      <c r="BI22" s="6"/>
      <c r="BJ22" s="6"/>
      <c r="BK22" s="6"/>
      <c r="BL22" s="6"/>
      <c r="BM22" s="6"/>
      <c r="BN22" s="6"/>
      <c r="BO22" s="6"/>
      <c r="BP22" s="6"/>
      <c r="BQ22" s="6"/>
      <c r="BR22" s="6"/>
      <c r="BS22" s="6"/>
      <c r="BT22" s="6"/>
      <c r="BU22" s="6"/>
      <c r="BV22" s="6"/>
    </row>
    <row r="23">
      <c r="A23" s="12"/>
      <c r="B23" s="8"/>
      <c r="C23" s="6" t="s">
        <v>329</v>
      </c>
      <c r="D23" s="9">
        <v>1.0</v>
      </c>
      <c r="E23" s="6" t="s">
        <v>330</v>
      </c>
      <c r="F23" s="9">
        <v>1.0</v>
      </c>
      <c r="G23" s="9" t="s">
        <v>331</v>
      </c>
      <c r="H23" s="9">
        <v>1.0</v>
      </c>
      <c r="I23" s="9"/>
      <c r="J23" s="9"/>
      <c r="K23" s="10" t="s">
        <v>332</v>
      </c>
      <c r="L23" s="9">
        <v>1.0</v>
      </c>
      <c r="M23" s="9"/>
      <c r="N23" s="9"/>
      <c r="O23" s="9"/>
      <c r="P23" s="9"/>
      <c r="Q23" s="9"/>
      <c r="R23" s="9"/>
      <c r="S23" s="9" t="s">
        <v>333</v>
      </c>
      <c r="T23" s="9">
        <v>1.0</v>
      </c>
      <c r="U23" s="9"/>
      <c r="V23" s="9"/>
      <c r="W23" s="9"/>
      <c r="X23" s="9"/>
      <c r="Y23" s="9"/>
      <c r="Z23" s="9"/>
      <c r="AA23" s="9"/>
      <c r="AB23" s="9"/>
      <c r="AC23" s="9"/>
      <c r="AD23" s="9"/>
      <c r="AE23" s="9"/>
      <c r="AF23" s="9"/>
      <c r="AG23" s="9"/>
      <c r="AH23" s="9"/>
      <c r="AI23" s="9"/>
      <c r="AJ23" s="9"/>
      <c r="AK23" s="9"/>
      <c r="AL23" s="9"/>
      <c r="AM23" s="10" t="s">
        <v>334</v>
      </c>
      <c r="AN23" s="9">
        <v>1.0</v>
      </c>
      <c r="AO23" s="9"/>
      <c r="AP23" s="9"/>
      <c r="AQ23" s="9"/>
      <c r="AR23" s="9"/>
      <c r="AS23" s="9"/>
      <c r="AT23" s="9"/>
      <c r="AU23" s="9"/>
      <c r="AV23" s="9"/>
      <c r="AW23" s="9"/>
      <c r="AX23" s="9"/>
      <c r="AY23" s="9"/>
      <c r="AZ23" s="9"/>
      <c r="BA23" s="6"/>
      <c r="BB23" s="6"/>
      <c r="BC23" s="6"/>
      <c r="BD23" s="6"/>
      <c r="BE23" s="6"/>
      <c r="BF23" s="6"/>
      <c r="BG23" s="6"/>
      <c r="BH23" s="6"/>
      <c r="BI23" s="6"/>
      <c r="BJ23" s="6"/>
      <c r="BK23" s="6"/>
      <c r="BL23" s="6"/>
      <c r="BM23" s="6"/>
      <c r="BN23" s="6"/>
      <c r="BO23" s="6"/>
      <c r="BP23" s="6"/>
      <c r="BQ23" s="6"/>
      <c r="BR23" s="6"/>
      <c r="BS23" s="6"/>
      <c r="BT23" s="6"/>
      <c r="BU23" s="6"/>
      <c r="BV23" s="6"/>
    </row>
    <row r="24">
      <c r="A24" s="13"/>
      <c r="B24" s="8"/>
      <c r="C24" s="6" t="s">
        <v>335</v>
      </c>
      <c r="D24" s="9">
        <v>1.0</v>
      </c>
      <c r="E24" s="6" t="s">
        <v>336</v>
      </c>
      <c r="F24" s="9">
        <v>1.0</v>
      </c>
      <c r="G24" s="9" t="s">
        <v>337</v>
      </c>
      <c r="H24" s="9">
        <v>0.0</v>
      </c>
      <c r="I24" s="9"/>
      <c r="J24" s="9"/>
      <c r="K24" s="10" t="s">
        <v>338</v>
      </c>
      <c r="L24" s="9">
        <v>1.0</v>
      </c>
      <c r="M24" s="9"/>
      <c r="N24" s="9"/>
      <c r="O24" s="9"/>
      <c r="P24" s="9"/>
      <c r="Q24" s="9"/>
      <c r="R24" s="9"/>
      <c r="S24" s="9" t="s">
        <v>339</v>
      </c>
      <c r="T24" s="9">
        <v>1.0</v>
      </c>
      <c r="U24" s="9"/>
      <c r="V24" s="9"/>
      <c r="W24" s="9"/>
      <c r="X24" s="9"/>
      <c r="Y24" s="9"/>
      <c r="Z24" s="9"/>
      <c r="AA24" s="9"/>
      <c r="AB24" s="9"/>
      <c r="AC24" s="9"/>
      <c r="AD24" s="9"/>
      <c r="AE24" s="9"/>
      <c r="AF24" s="9"/>
      <c r="AG24" s="9"/>
      <c r="AH24" s="9"/>
      <c r="AI24" s="9"/>
      <c r="AJ24" s="9"/>
      <c r="AK24" s="9"/>
      <c r="AL24" s="9"/>
      <c r="AM24" s="10" t="s">
        <v>340</v>
      </c>
      <c r="AN24" s="9">
        <v>1.0</v>
      </c>
      <c r="AO24" s="9"/>
      <c r="AP24" s="9"/>
      <c r="AQ24" s="9"/>
      <c r="AR24" s="9"/>
      <c r="AS24" s="9"/>
      <c r="AT24" s="9"/>
      <c r="AU24" s="9"/>
      <c r="AV24" s="9"/>
      <c r="AW24" s="9"/>
      <c r="AX24" s="9"/>
      <c r="AY24" s="9"/>
      <c r="AZ24" s="9"/>
      <c r="BA24" s="6"/>
      <c r="BB24" s="6"/>
      <c r="BC24" s="6"/>
      <c r="BD24" s="6"/>
      <c r="BE24" s="6"/>
      <c r="BF24" s="6"/>
      <c r="BG24" s="6"/>
      <c r="BH24" s="6"/>
      <c r="BI24" s="6"/>
      <c r="BJ24" s="6"/>
      <c r="BK24" s="6"/>
      <c r="BL24" s="6"/>
      <c r="BM24" s="6"/>
      <c r="BN24" s="6"/>
      <c r="BO24" s="6"/>
      <c r="BP24" s="6"/>
      <c r="BQ24" s="6"/>
      <c r="BR24" s="6"/>
      <c r="BS24" s="6"/>
      <c r="BT24" s="6"/>
      <c r="BU24" s="6"/>
      <c r="BV24" s="6"/>
    </row>
    <row r="25">
      <c r="A25" s="13"/>
      <c r="B25" s="8"/>
      <c r="C25" s="6" t="s">
        <v>341</v>
      </c>
      <c r="D25" s="9">
        <v>1.0</v>
      </c>
      <c r="E25" s="6" t="s">
        <v>342</v>
      </c>
      <c r="F25" s="9">
        <v>1.0</v>
      </c>
      <c r="G25" s="9" t="s">
        <v>343</v>
      </c>
      <c r="H25" s="9">
        <v>1.0</v>
      </c>
      <c r="I25" s="9"/>
      <c r="J25" s="9"/>
      <c r="K25" s="10" t="s">
        <v>344</v>
      </c>
      <c r="L25" s="9">
        <v>1.0</v>
      </c>
      <c r="M25" s="9"/>
      <c r="N25" s="9"/>
      <c r="O25" s="9"/>
      <c r="P25" s="9"/>
      <c r="Q25" s="9"/>
      <c r="R25" s="9"/>
      <c r="S25" s="9" t="s">
        <v>345</v>
      </c>
      <c r="T25" s="9">
        <v>1.0</v>
      </c>
      <c r="U25" s="9"/>
      <c r="V25" s="9"/>
      <c r="W25" s="9"/>
      <c r="X25" s="9"/>
      <c r="Y25" s="9"/>
      <c r="Z25" s="9"/>
      <c r="AA25" s="9"/>
      <c r="AB25" s="9"/>
      <c r="AC25" s="9"/>
      <c r="AD25" s="9"/>
      <c r="AE25" s="9"/>
      <c r="AF25" s="9"/>
      <c r="AG25" s="9"/>
      <c r="AH25" s="9"/>
      <c r="AI25" s="9"/>
      <c r="AJ25" s="9"/>
      <c r="AK25" s="9"/>
      <c r="AL25" s="9"/>
      <c r="AM25" s="10" t="s">
        <v>346</v>
      </c>
      <c r="AN25" s="9">
        <v>0.0</v>
      </c>
      <c r="AO25" s="9"/>
      <c r="AP25" s="9"/>
      <c r="AQ25" s="9"/>
      <c r="AR25" s="9"/>
      <c r="AS25" s="9"/>
      <c r="AT25" s="9"/>
      <c r="AU25" s="9"/>
      <c r="AV25" s="9"/>
      <c r="AW25" s="9"/>
      <c r="AX25" s="9"/>
      <c r="AY25" s="9"/>
      <c r="AZ25" s="9"/>
      <c r="BA25" s="6"/>
      <c r="BB25" s="6"/>
      <c r="BC25" s="6"/>
      <c r="BD25" s="6"/>
      <c r="BE25" s="6"/>
      <c r="BF25" s="6"/>
      <c r="BG25" s="6"/>
      <c r="BH25" s="6"/>
      <c r="BI25" s="6"/>
      <c r="BJ25" s="6"/>
      <c r="BK25" s="6"/>
      <c r="BL25" s="6"/>
      <c r="BM25" s="6"/>
      <c r="BN25" s="6"/>
      <c r="BO25" s="6"/>
      <c r="BP25" s="6"/>
      <c r="BQ25" s="6"/>
      <c r="BR25" s="6"/>
      <c r="BS25" s="6"/>
      <c r="BT25" s="6"/>
      <c r="BU25" s="6"/>
      <c r="BV25" s="6"/>
    </row>
    <row r="26">
      <c r="A26" s="7"/>
      <c r="B26" s="8"/>
      <c r="C26" s="6" t="s">
        <v>347</v>
      </c>
      <c r="D26" s="9">
        <v>1.0</v>
      </c>
      <c r="E26" s="6" t="s">
        <v>348</v>
      </c>
      <c r="F26" s="9">
        <v>1.0</v>
      </c>
      <c r="G26" s="9" t="s">
        <v>349</v>
      </c>
      <c r="H26" s="9">
        <v>0.0</v>
      </c>
      <c r="I26" s="9"/>
      <c r="J26" s="9"/>
      <c r="K26" s="10" t="s">
        <v>350</v>
      </c>
      <c r="L26" s="9">
        <v>1.0</v>
      </c>
      <c r="M26" s="9"/>
      <c r="N26" s="9"/>
      <c r="O26" s="9"/>
      <c r="P26" s="9"/>
      <c r="Q26" s="9"/>
      <c r="R26" s="9"/>
      <c r="S26" s="9" t="s">
        <v>351</v>
      </c>
      <c r="T26" s="9">
        <v>1.0</v>
      </c>
      <c r="U26" s="9"/>
      <c r="V26" s="9"/>
      <c r="W26" s="9"/>
      <c r="X26" s="9"/>
      <c r="Y26" s="9"/>
      <c r="Z26" s="9"/>
      <c r="AA26" s="9"/>
      <c r="AB26" s="9"/>
      <c r="AC26" s="9"/>
      <c r="AD26" s="9"/>
      <c r="AE26" s="9"/>
      <c r="AF26" s="9"/>
      <c r="AG26" s="9"/>
      <c r="AH26" s="9"/>
      <c r="AI26" s="9"/>
      <c r="AJ26" s="9"/>
      <c r="AK26" s="9"/>
      <c r="AL26" s="9"/>
      <c r="AM26" s="10" t="s">
        <v>352</v>
      </c>
      <c r="AN26" s="9">
        <v>1.0</v>
      </c>
      <c r="AO26" s="9"/>
      <c r="AP26" s="9"/>
      <c r="AQ26" s="9"/>
      <c r="AR26" s="9"/>
      <c r="AS26" s="9"/>
      <c r="AT26" s="9"/>
      <c r="AU26" s="9"/>
      <c r="AV26" s="9"/>
      <c r="AW26" s="9"/>
      <c r="AX26" s="9"/>
      <c r="AY26" s="9"/>
      <c r="AZ26" s="9"/>
      <c r="BA26" s="6"/>
      <c r="BB26" s="6"/>
      <c r="BC26" s="6"/>
      <c r="BD26" s="6"/>
      <c r="BE26" s="6"/>
      <c r="BF26" s="6"/>
      <c r="BG26" s="6"/>
      <c r="BH26" s="6"/>
      <c r="BI26" s="6"/>
      <c r="BJ26" s="6"/>
      <c r="BK26" s="6"/>
      <c r="BL26" s="6"/>
      <c r="BM26" s="6"/>
      <c r="BN26" s="6"/>
      <c r="BO26" s="6"/>
      <c r="BP26" s="6"/>
      <c r="BQ26" s="6"/>
      <c r="BR26" s="6"/>
      <c r="BS26" s="6"/>
      <c r="BT26" s="6"/>
      <c r="BU26" s="6"/>
      <c r="BV26" s="6"/>
    </row>
    <row r="27">
      <c r="A27" s="13"/>
      <c r="B27" s="8"/>
      <c r="C27" s="6" t="s">
        <v>105</v>
      </c>
      <c r="D27" s="9">
        <v>1.0</v>
      </c>
      <c r="E27" s="6" t="s">
        <v>353</v>
      </c>
      <c r="F27" s="9">
        <v>1.0</v>
      </c>
      <c r="G27" s="9" t="s">
        <v>354</v>
      </c>
      <c r="H27" s="9">
        <v>1.0</v>
      </c>
      <c r="I27" s="9"/>
      <c r="J27" s="9"/>
      <c r="K27" s="10" t="s">
        <v>355</v>
      </c>
      <c r="L27" s="9">
        <v>1.0</v>
      </c>
      <c r="M27" s="9"/>
      <c r="N27" s="9"/>
      <c r="O27" s="9"/>
      <c r="P27" s="9"/>
      <c r="Q27" s="9"/>
      <c r="R27" s="9"/>
      <c r="S27" s="9" t="s">
        <v>356</v>
      </c>
      <c r="T27" s="9">
        <v>1.0</v>
      </c>
      <c r="U27" s="9"/>
      <c r="V27" s="9"/>
      <c r="W27" s="9"/>
      <c r="X27" s="9"/>
      <c r="Y27" s="9"/>
      <c r="Z27" s="9"/>
      <c r="AA27" s="9"/>
      <c r="AB27" s="9"/>
      <c r="AC27" s="9"/>
      <c r="AD27" s="9"/>
      <c r="AE27" s="9"/>
      <c r="AF27" s="9"/>
      <c r="AG27" s="9"/>
      <c r="AH27" s="9"/>
      <c r="AI27" s="9"/>
      <c r="AJ27" s="9"/>
      <c r="AK27" s="9"/>
      <c r="AL27" s="9"/>
      <c r="AM27" s="10" t="s">
        <v>357</v>
      </c>
      <c r="AN27" s="9">
        <v>1.0</v>
      </c>
      <c r="AO27" s="9"/>
      <c r="AP27" s="9"/>
      <c r="AQ27" s="9"/>
      <c r="AR27" s="9"/>
      <c r="AS27" s="9"/>
      <c r="AT27" s="9"/>
      <c r="AU27" s="9"/>
      <c r="AV27" s="9"/>
      <c r="AW27" s="9"/>
      <c r="AX27" s="9"/>
      <c r="AY27" s="9"/>
      <c r="AZ27" s="9"/>
      <c r="BA27" s="6"/>
      <c r="BB27" s="6"/>
      <c r="BC27" s="6"/>
      <c r="BD27" s="6"/>
      <c r="BE27" s="6"/>
      <c r="BF27" s="6"/>
      <c r="BG27" s="6"/>
      <c r="BH27" s="6"/>
      <c r="BI27" s="6"/>
      <c r="BJ27" s="6"/>
      <c r="BK27" s="6"/>
      <c r="BL27" s="6"/>
      <c r="BM27" s="6"/>
      <c r="BN27" s="6"/>
      <c r="BO27" s="6"/>
      <c r="BP27" s="6"/>
      <c r="BQ27" s="6"/>
      <c r="BR27" s="6"/>
      <c r="BS27" s="6"/>
      <c r="BT27" s="6"/>
      <c r="BU27" s="6"/>
      <c r="BV27" s="6"/>
    </row>
    <row r="28">
      <c r="A28" s="12"/>
      <c r="B28" s="8"/>
      <c r="C28" s="6" t="s">
        <v>358</v>
      </c>
      <c r="D28" s="9">
        <v>1.0</v>
      </c>
      <c r="E28" s="6" t="s">
        <v>359</v>
      </c>
      <c r="F28" s="9">
        <v>1.0</v>
      </c>
      <c r="G28" s="9" t="s">
        <v>360</v>
      </c>
      <c r="H28" s="9">
        <v>1.0</v>
      </c>
      <c r="I28" s="9"/>
      <c r="J28" s="9"/>
      <c r="K28" s="10" t="s">
        <v>361</v>
      </c>
      <c r="L28" s="9">
        <v>1.0</v>
      </c>
      <c r="M28" s="9"/>
      <c r="N28" s="9"/>
      <c r="O28" s="9"/>
      <c r="P28" s="9"/>
      <c r="Q28" s="9"/>
      <c r="R28" s="9"/>
      <c r="S28" s="9" t="s">
        <v>362</v>
      </c>
      <c r="T28" s="9">
        <v>1.0</v>
      </c>
      <c r="U28" s="9"/>
      <c r="V28" s="9"/>
      <c r="W28" s="9"/>
      <c r="X28" s="9"/>
      <c r="Y28" s="9"/>
      <c r="Z28" s="9"/>
      <c r="AA28" s="9"/>
      <c r="AB28" s="9"/>
      <c r="AC28" s="9"/>
      <c r="AD28" s="9"/>
      <c r="AE28" s="9"/>
      <c r="AF28" s="9"/>
      <c r="AG28" s="9"/>
      <c r="AH28" s="9"/>
      <c r="AI28" s="9"/>
      <c r="AJ28" s="9"/>
      <c r="AK28" s="9"/>
      <c r="AL28" s="9"/>
      <c r="AM28" s="10" t="s">
        <v>363</v>
      </c>
      <c r="AN28" s="9">
        <v>1.0</v>
      </c>
      <c r="AO28" s="9"/>
      <c r="AP28" s="9"/>
      <c r="AQ28" s="9"/>
      <c r="AR28" s="9"/>
      <c r="AS28" s="9"/>
      <c r="AT28" s="9"/>
      <c r="AU28" s="9"/>
      <c r="AV28" s="9"/>
      <c r="AW28" s="9"/>
      <c r="AX28" s="9"/>
      <c r="AY28" s="9"/>
      <c r="AZ28" s="9"/>
      <c r="BA28" s="6"/>
      <c r="BB28" s="6"/>
      <c r="BC28" s="6"/>
      <c r="BD28" s="6"/>
      <c r="BE28" s="6"/>
      <c r="BF28" s="6"/>
      <c r="BG28" s="6"/>
      <c r="BH28" s="6"/>
      <c r="BI28" s="6"/>
      <c r="BJ28" s="6"/>
      <c r="BK28" s="6"/>
      <c r="BL28" s="6"/>
      <c r="BM28" s="6"/>
      <c r="BN28" s="6"/>
      <c r="BO28" s="6"/>
      <c r="BP28" s="6"/>
      <c r="BQ28" s="6"/>
      <c r="BR28" s="6"/>
      <c r="BS28" s="6"/>
      <c r="BT28" s="6"/>
      <c r="BU28" s="6"/>
      <c r="BV28" s="6"/>
    </row>
    <row r="29">
      <c r="A29" s="12"/>
      <c r="B29" s="9"/>
      <c r="C29" s="6" t="s">
        <v>364</v>
      </c>
      <c r="D29" s="9">
        <v>1.0</v>
      </c>
      <c r="E29" s="6" t="s">
        <v>365</v>
      </c>
      <c r="F29" s="9">
        <v>1.0</v>
      </c>
      <c r="G29" s="9" t="s">
        <v>366</v>
      </c>
      <c r="H29" s="9">
        <v>1.0</v>
      </c>
      <c r="I29" s="9"/>
      <c r="J29" s="9"/>
      <c r="K29" s="10" t="s">
        <v>367</v>
      </c>
      <c r="L29" s="9">
        <v>1.0</v>
      </c>
      <c r="M29" s="9"/>
      <c r="N29" s="9"/>
      <c r="O29" s="9"/>
      <c r="P29" s="9"/>
      <c r="Q29" s="9"/>
      <c r="R29" s="9"/>
      <c r="S29" s="9" t="s">
        <v>368</v>
      </c>
      <c r="T29" s="9">
        <v>1.0</v>
      </c>
      <c r="U29" s="9"/>
      <c r="V29" s="9"/>
      <c r="W29" s="9"/>
      <c r="X29" s="9"/>
      <c r="Y29" s="9"/>
      <c r="Z29" s="9"/>
      <c r="AA29" s="9"/>
      <c r="AB29" s="9"/>
      <c r="AC29" s="9"/>
      <c r="AD29" s="9"/>
      <c r="AE29" s="9"/>
      <c r="AF29" s="9"/>
      <c r="AG29" s="9"/>
      <c r="AH29" s="9"/>
      <c r="AI29" s="9"/>
      <c r="AJ29" s="9"/>
      <c r="AK29" s="9"/>
      <c r="AL29" s="9"/>
      <c r="AM29" s="10" t="s">
        <v>369</v>
      </c>
      <c r="AN29" s="9">
        <v>1.0</v>
      </c>
      <c r="AO29" s="9"/>
      <c r="AP29" s="9"/>
      <c r="AQ29" s="9"/>
      <c r="AR29" s="9"/>
      <c r="AS29" s="9"/>
      <c r="AT29" s="9"/>
      <c r="AU29" s="9"/>
      <c r="AV29" s="9"/>
      <c r="AW29" s="9"/>
      <c r="AX29" s="9"/>
      <c r="AY29" s="9"/>
      <c r="AZ29" s="9"/>
      <c r="BA29" s="6"/>
      <c r="BB29" s="6"/>
      <c r="BC29" s="6"/>
      <c r="BD29" s="6"/>
      <c r="BE29" s="6"/>
      <c r="BF29" s="6"/>
      <c r="BG29" s="6"/>
      <c r="BH29" s="6"/>
      <c r="BI29" s="6"/>
      <c r="BJ29" s="6"/>
      <c r="BK29" s="6"/>
      <c r="BL29" s="6"/>
      <c r="BM29" s="6"/>
      <c r="BN29" s="6"/>
      <c r="BO29" s="6"/>
      <c r="BP29" s="6"/>
      <c r="BQ29" s="6"/>
      <c r="BR29" s="6"/>
      <c r="BS29" s="6"/>
      <c r="BT29" s="6"/>
      <c r="BU29" s="6"/>
      <c r="BV29" s="6"/>
    </row>
    <row r="30">
      <c r="A30" s="12"/>
      <c r="B30" s="9"/>
      <c r="C30" s="6" t="s">
        <v>370</v>
      </c>
      <c r="D30" s="9">
        <v>1.0</v>
      </c>
      <c r="E30" s="6" t="s">
        <v>371</v>
      </c>
      <c r="F30" s="9">
        <v>1.0</v>
      </c>
      <c r="G30" s="9" t="s">
        <v>372</v>
      </c>
      <c r="H30" s="9">
        <v>1.0</v>
      </c>
      <c r="I30" s="9"/>
      <c r="J30" s="9"/>
      <c r="K30" s="10" t="s">
        <v>373</v>
      </c>
      <c r="L30" s="9">
        <v>1.0</v>
      </c>
      <c r="M30" s="9"/>
      <c r="N30" s="9"/>
      <c r="O30" s="9"/>
      <c r="P30" s="9"/>
      <c r="Q30" s="9"/>
      <c r="R30" s="9"/>
      <c r="S30" s="6"/>
      <c r="T30" s="9"/>
      <c r="U30" s="6"/>
      <c r="V30" s="9"/>
      <c r="W30" s="6"/>
      <c r="X30" s="9"/>
      <c r="Y30" s="6"/>
      <c r="Z30" s="9"/>
      <c r="AA30" s="6"/>
      <c r="AB30" s="9"/>
      <c r="AC30" s="6"/>
      <c r="AD30" s="9"/>
      <c r="AE30" s="6"/>
      <c r="AF30" s="9"/>
      <c r="AG30" s="6"/>
      <c r="AH30" s="9"/>
      <c r="AI30" s="6"/>
      <c r="AJ30" s="9"/>
      <c r="AK30" s="6"/>
      <c r="AL30" s="9"/>
      <c r="AM30" s="10" t="s">
        <v>374</v>
      </c>
      <c r="AN30" s="9">
        <v>1.0</v>
      </c>
      <c r="AO30" s="9"/>
      <c r="AP30" s="9"/>
      <c r="AQ30" s="9"/>
      <c r="AR30" s="9"/>
      <c r="AS30" s="9"/>
      <c r="AT30" s="9"/>
      <c r="AU30" s="9"/>
      <c r="AV30" s="9"/>
      <c r="AW30" s="9"/>
      <c r="AX30" s="9"/>
      <c r="AY30" s="9"/>
      <c r="AZ30" s="9"/>
      <c r="BA30" s="6"/>
      <c r="BB30" s="6"/>
      <c r="BC30" s="6"/>
      <c r="BD30" s="6"/>
      <c r="BE30" s="6"/>
      <c r="BF30" s="6"/>
      <c r="BG30" s="6"/>
      <c r="BH30" s="6"/>
      <c r="BI30" s="6"/>
      <c r="BJ30" s="6"/>
      <c r="BK30" s="6"/>
      <c r="BL30" s="6"/>
      <c r="BM30" s="6"/>
      <c r="BN30" s="6"/>
      <c r="BO30" s="6"/>
      <c r="BP30" s="6"/>
      <c r="BQ30" s="6"/>
      <c r="BR30" s="6"/>
      <c r="BS30" s="6"/>
      <c r="BT30" s="6"/>
      <c r="BU30" s="6"/>
      <c r="BV30" s="6"/>
    </row>
    <row r="31">
      <c r="A31" s="7"/>
      <c r="B31" s="9"/>
      <c r="C31" s="6" t="s">
        <v>375</v>
      </c>
      <c r="D31" s="9">
        <v>1.0</v>
      </c>
      <c r="E31" s="6" t="s">
        <v>376</v>
      </c>
      <c r="F31" s="9">
        <v>1.0</v>
      </c>
      <c r="G31" s="9" t="s">
        <v>377</v>
      </c>
      <c r="H31" s="9">
        <v>0.0</v>
      </c>
      <c r="I31" s="9"/>
      <c r="J31" s="9"/>
      <c r="K31" s="10" t="s">
        <v>378</v>
      </c>
      <c r="L31" s="9">
        <v>1.0</v>
      </c>
      <c r="M31" s="9"/>
      <c r="N31" s="9"/>
      <c r="O31" s="9"/>
      <c r="P31" s="9"/>
      <c r="Q31" s="9"/>
      <c r="R31" s="9"/>
      <c r="S31" s="6"/>
      <c r="T31" s="9"/>
      <c r="U31" s="6"/>
      <c r="V31" s="9"/>
      <c r="W31" s="6"/>
      <c r="X31" s="9"/>
      <c r="Y31" s="6"/>
      <c r="Z31" s="9"/>
      <c r="AA31" s="6"/>
      <c r="AB31" s="9"/>
      <c r="AC31" s="6"/>
      <c r="AD31" s="9"/>
      <c r="AE31" s="6"/>
      <c r="AF31" s="9"/>
      <c r="AG31" s="6"/>
      <c r="AH31" s="9"/>
      <c r="AI31" s="6"/>
      <c r="AJ31" s="9"/>
      <c r="AK31" s="6"/>
      <c r="AL31" s="9"/>
      <c r="AM31" s="10" t="s">
        <v>379</v>
      </c>
      <c r="AN31" s="9">
        <v>1.0</v>
      </c>
      <c r="AO31" s="9"/>
      <c r="AP31" s="9"/>
      <c r="AQ31" s="9"/>
      <c r="AR31" s="9"/>
      <c r="AS31" s="9"/>
      <c r="AT31" s="9"/>
      <c r="AU31" s="9"/>
      <c r="AV31" s="9"/>
      <c r="AW31" s="9"/>
      <c r="AX31" s="9"/>
      <c r="AY31" s="9"/>
      <c r="AZ31" s="9"/>
      <c r="BA31" s="6"/>
      <c r="BB31" s="6"/>
      <c r="BC31" s="6"/>
      <c r="BD31" s="6"/>
      <c r="BE31" s="6"/>
      <c r="BF31" s="6"/>
      <c r="BG31" s="6"/>
      <c r="BH31" s="6"/>
      <c r="BI31" s="6"/>
      <c r="BJ31" s="6"/>
      <c r="BK31" s="6"/>
      <c r="BL31" s="6"/>
      <c r="BM31" s="6"/>
      <c r="BN31" s="6"/>
      <c r="BO31" s="6"/>
      <c r="BP31" s="6"/>
      <c r="BQ31" s="6"/>
      <c r="BR31" s="6"/>
      <c r="BS31" s="6"/>
      <c r="BT31" s="6"/>
      <c r="BU31" s="6"/>
      <c r="BV31" s="6"/>
    </row>
    <row r="32">
      <c r="A32" s="7"/>
      <c r="B32" s="9"/>
      <c r="C32" s="6" t="s">
        <v>380</v>
      </c>
      <c r="D32" s="9">
        <v>1.0</v>
      </c>
      <c r="E32" s="6" t="s">
        <v>381</v>
      </c>
      <c r="F32" s="9">
        <v>1.0</v>
      </c>
      <c r="G32" s="9" t="s">
        <v>382</v>
      </c>
      <c r="H32" s="9">
        <v>1.0</v>
      </c>
      <c r="I32" s="9"/>
      <c r="J32" s="9"/>
      <c r="K32" s="10" t="s">
        <v>383</v>
      </c>
      <c r="L32" s="9">
        <v>1.0</v>
      </c>
      <c r="M32" s="9"/>
      <c r="N32" s="9"/>
      <c r="O32" s="9"/>
      <c r="P32" s="9"/>
      <c r="Q32" s="9"/>
      <c r="R32" s="9"/>
      <c r="S32" s="6"/>
      <c r="T32" s="9"/>
      <c r="U32" s="6"/>
      <c r="V32" s="9"/>
      <c r="W32" s="6"/>
      <c r="X32" s="9"/>
      <c r="Y32" s="6"/>
      <c r="Z32" s="9"/>
      <c r="AA32" s="6"/>
      <c r="AB32" s="9"/>
      <c r="AC32" s="6"/>
      <c r="AD32" s="9"/>
      <c r="AE32" s="6"/>
      <c r="AF32" s="9"/>
      <c r="AG32" s="6"/>
      <c r="AH32" s="9"/>
      <c r="AI32" s="6"/>
      <c r="AJ32" s="9"/>
      <c r="AK32" s="6"/>
      <c r="AL32" s="9"/>
      <c r="AM32" s="10" t="s">
        <v>384</v>
      </c>
      <c r="AN32" s="9">
        <v>1.0</v>
      </c>
      <c r="AO32" s="9"/>
      <c r="AP32" s="9"/>
      <c r="AQ32" s="9"/>
      <c r="AR32" s="9"/>
      <c r="AS32" s="9"/>
      <c r="AT32" s="9"/>
      <c r="AU32" s="9"/>
      <c r="AV32" s="9"/>
      <c r="AW32" s="9"/>
      <c r="AX32" s="9"/>
      <c r="AY32" s="9"/>
      <c r="AZ32" s="9"/>
      <c r="BA32" s="6"/>
      <c r="BB32" s="6"/>
      <c r="BC32" s="6"/>
      <c r="BD32" s="6"/>
      <c r="BE32" s="6"/>
      <c r="BF32" s="6"/>
      <c r="BG32" s="6"/>
      <c r="BH32" s="6"/>
      <c r="BI32" s="6"/>
      <c r="BJ32" s="6"/>
      <c r="BK32" s="6"/>
      <c r="BL32" s="6"/>
      <c r="BM32" s="6"/>
      <c r="BN32" s="6"/>
      <c r="BO32" s="6"/>
      <c r="BP32" s="6"/>
      <c r="BQ32" s="6"/>
      <c r="BR32" s="6"/>
      <c r="BS32" s="6"/>
      <c r="BT32" s="6"/>
      <c r="BU32" s="6"/>
      <c r="BV32" s="6"/>
    </row>
    <row r="33">
      <c r="A33" s="13"/>
      <c r="B33" s="9"/>
      <c r="C33" s="6" t="s">
        <v>385</v>
      </c>
      <c r="D33" s="9">
        <v>1.0</v>
      </c>
      <c r="E33" s="6"/>
      <c r="F33" s="9"/>
      <c r="G33" s="9" t="s">
        <v>386</v>
      </c>
      <c r="H33" s="9">
        <v>0.0</v>
      </c>
      <c r="I33" s="9"/>
      <c r="J33" s="9"/>
      <c r="K33" s="10" t="s">
        <v>387</v>
      </c>
      <c r="L33" s="9">
        <v>1.0</v>
      </c>
      <c r="M33" s="9"/>
      <c r="N33" s="9"/>
      <c r="O33" s="9"/>
      <c r="P33" s="9"/>
      <c r="Q33" s="9"/>
      <c r="R33" s="9"/>
      <c r="S33" s="6"/>
      <c r="T33" s="9"/>
      <c r="U33" s="6"/>
      <c r="V33" s="9"/>
      <c r="W33" s="6"/>
      <c r="X33" s="9"/>
      <c r="Y33" s="6"/>
      <c r="Z33" s="9"/>
      <c r="AA33" s="6"/>
      <c r="AB33" s="9"/>
      <c r="AC33" s="6"/>
      <c r="AD33" s="9"/>
      <c r="AE33" s="6"/>
      <c r="AF33" s="9"/>
      <c r="AG33" s="6"/>
      <c r="AH33" s="9"/>
      <c r="AI33" s="6"/>
      <c r="AJ33" s="9"/>
      <c r="AK33" s="6"/>
      <c r="AL33" s="9"/>
      <c r="AM33" s="10" t="s">
        <v>388</v>
      </c>
      <c r="AN33" s="9">
        <v>1.0</v>
      </c>
      <c r="AO33" s="9"/>
      <c r="AP33" s="9"/>
      <c r="AQ33" s="9"/>
      <c r="AR33" s="9"/>
      <c r="AS33" s="9"/>
      <c r="AT33" s="9"/>
      <c r="AU33" s="9"/>
      <c r="AV33" s="9"/>
      <c r="AW33" s="9"/>
      <c r="AX33" s="9"/>
      <c r="AY33" s="9"/>
      <c r="AZ33" s="9"/>
      <c r="BA33" s="6"/>
      <c r="BB33" s="6"/>
      <c r="BC33" s="6"/>
      <c r="BD33" s="6"/>
      <c r="BE33" s="6"/>
      <c r="BF33" s="6"/>
      <c r="BG33" s="6"/>
      <c r="BH33" s="6"/>
      <c r="BI33" s="6"/>
      <c r="BJ33" s="6"/>
      <c r="BK33" s="6"/>
      <c r="BL33" s="6"/>
      <c r="BM33" s="6"/>
      <c r="BN33" s="6"/>
      <c r="BO33" s="6"/>
      <c r="BP33" s="6"/>
      <c r="BQ33" s="6"/>
      <c r="BR33" s="6"/>
      <c r="BS33" s="6"/>
      <c r="BT33" s="6"/>
      <c r="BU33" s="6"/>
      <c r="BV33" s="6"/>
    </row>
    <row r="34">
      <c r="A34" s="12"/>
      <c r="B34" s="9"/>
      <c r="C34" s="6" t="s">
        <v>148</v>
      </c>
      <c r="D34" s="9">
        <v>1.0</v>
      </c>
      <c r="E34" s="6"/>
      <c r="F34" s="9"/>
      <c r="G34" s="9" t="s">
        <v>389</v>
      </c>
      <c r="H34" s="9">
        <v>1.0</v>
      </c>
      <c r="I34" s="9"/>
      <c r="J34" s="9"/>
      <c r="K34" s="9"/>
      <c r="L34" s="9"/>
      <c r="M34" s="9"/>
      <c r="N34" s="9"/>
      <c r="O34" s="9"/>
      <c r="P34" s="9"/>
      <c r="Q34" s="9"/>
      <c r="R34" s="9"/>
      <c r="S34" s="6"/>
      <c r="T34" s="9"/>
      <c r="U34" s="6"/>
      <c r="V34" s="9"/>
      <c r="W34" s="6"/>
      <c r="X34" s="9"/>
      <c r="Y34" s="6"/>
      <c r="Z34" s="9"/>
      <c r="AA34" s="6"/>
      <c r="AB34" s="9"/>
      <c r="AC34" s="6"/>
      <c r="AD34" s="9"/>
      <c r="AE34" s="6"/>
      <c r="AF34" s="9"/>
      <c r="AG34" s="6"/>
      <c r="AH34" s="9"/>
      <c r="AI34" s="6"/>
      <c r="AJ34" s="9"/>
      <c r="AK34" s="6"/>
      <c r="AL34" s="9"/>
      <c r="AM34" s="10" t="s">
        <v>390</v>
      </c>
      <c r="AN34" s="9">
        <v>1.0</v>
      </c>
      <c r="AO34" s="9"/>
      <c r="AP34" s="9"/>
      <c r="AQ34" s="9"/>
      <c r="AR34" s="9"/>
      <c r="AS34" s="9"/>
      <c r="AT34" s="9"/>
      <c r="AU34" s="9"/>
      <c r="AV34" s="9"/>
      <c r="AW34" s="9"/>
      <c r="AX34" s="9"/>
      <c r="AY34" s="9"/>
      <c r="AZ34" s="9"/>
      <c r="BA34" s="6"/>
      <c r="BB34" s="6"/>
      <c r="BC34" s="6"/>
      <c r="BD34" s="6"/>
      <c r="BE34" s="6"/>
      <c r="BF34" s="6"/>
      <c r="BG34" s="6"/>
      <c r="BH34" s="6"/>
      <c r="BI34" s="6"/>
      <c r="BJ34" s="6"/>
      <c r="BK34" s="6"/>
      <c r="BL34" s="6"/>
      <c r="BM34" s="6"/>
      <c r="BN34" s="6"/>
      <c r="BO34" s="6"/>
      <c r="BP34" s="6"/>
      <c r="BQ34" s="6"/>
      <c r="BR34" s="6"/>
      <c r="BS34" s="6"/>
      <c r="BT34" s="6"/>
      <c r="BU34" s="6"/>
      <c r="BV34" s="6"/>
    </row>
    <row r="35">
      <c r="A35" s="12"/>
      <c r="B35" s="9"/>
      <c r="C35" s="6" t="s">
        <v>391</v>
      </c>
      <c r="D35" s="9">
        <v>1.0</v>
      </c>
      <c r="E35" s="6"/>
      <c r="F35" s="9"/>
      <c r="G35" s="9" t="s">
        <v>392</v>
      </c>
      <c r="H35" s="9">
        <v>1.0</v>
      </c>
      <c r="I35" s="9"/>
      <c r="J35" s="9"/>
      <c r="K35" s="9"/>
      <c r="L35" s="9"/>
      <c r="M35" s="9"/>
      <c r="N35" s="9"/>
      <c r="O35" s="9"/>
      <c r="P35" s="9"/>
      <c r="Q35" s="9"/>
      <c r="R35" s="9"/>
      <c r="S35" s="6"/>
      <c r="T35" s="9"/>
      <c r="U35" s="6"/>
      <c r="V35" s="9"/>
      <c r="W35" s="6"/>
      <c r="X35" s="9"/>
      <c r="Y35" s="6"/>
      <c r="Z35" s="9"/>
      <c r="AA35" s="6"/>
      <c r="AB35" s="9"/>
      <c r="AC35" s="6"/>
      <c r="AD35" s="9"/>
      <c r="AE35" s="6"/>
      <c r="AF35" s="9"/>
      <c r="AG35" s="6"/>
      <c r="AH35" s="9"/>
      <c r="AI35" s="6"/>
      <c r="AJ35" s="9"/>
      <c r="AK35" s="6"/>
      <c r="AL35" s="9"/>
      <c r="AM35" s="10" t="s">
        <v>393</v>
      </c>
      <c r="AN35" s="9">
        <v>1.0</v>
      </c>
      <c r="AO35" s="9"/>
      <c r="AP35" s="9"/>
      <c r="AQ35" s="9"/>
      <c r="AR35" s="9"/>
      <c r="AS35" s="9"/>
      <c r="AT35" s="9"/>
      <c r="AU35" s="9"/>
      <c r="AV35" s="9"/>
      <c r="AW35" s="9"/>
      <c r="AX35" s="9"/>
      <c r="AY35" s="9"/>
      <c r="AZ35" s="9"/>
      <c r="BA35" s="6"/>
      <c r="BB35" s="6"/>
      <c r="BC35" s="6"/>
      <c r="BD35" s="6"/>
      <c r="BE35" s="6"/>
      <c r="BF35" s="6"/>
      <c r="BG35" s="6"/>
      <c r="BH35" s="6"/>
      <c r="BI35" s="6"/>
      <c r="BJ35" s="6"/>
      <c r="BK35" s="6"/>
      <c r="BL35" s="6"/>
      <c r="BM35" s="6"/>
      <c r="BN35" s="6"/>
      <c r="BO35" s="6"/>
      <c r="BP35" s="6"/>
      <c r="BQ35" s="6"/>
      <c r="BR35" s="6"/>
      <c r="BS35" s="6"/>
      <c r="BT35" s="6"/>
      <c r="BU35" s="6"/>
      <c r="BV35" s="6"/>
    </row>
    <row r="36">
      <c r="A36" s="14"/>
      <c r="B36" s="9"/>
      <c r="C36" s="6" t="s">
        <v>394</v>
      </c>
      <c r="D36" s="9">
        <v>1.0</v>
      </c>
      <c r="E36" s="6"/>
      <c r="F36" s="9"/>
      <c r="G36" s="9" t="s">
        <v>395</v>
      </c>
      <c r="H36" s="9">
        <v>1.0</v>
      </c>
      <c r="I36" s="9"/>
      <c r="J36" s="9"/>
      <c r="K36" s="9"/>
      <c r="L36" s="9"/>
      <c r="M36" s="9"/>
      <c r="N36" s="9"/>
      <c r="O36" s="9"/>
      <c r="P36" s="9"/>
      <c r="Q36" s="9"/>
      <c r="R36" s="9"/>
      <c r="S36" s="6"/>
      <c r="T36" s="9"/>
      <c r="U36" s="6"/>
      <c r="V36" s="9"/>
      <c r="W36" s="6"/>
      <c r="X36" s="9"/>
      <c r="Y36" s="6"/>
      <c r="Z36" s="9"/>
      <c r="AA36" s="6"/>
      <c r="AB36" s="9"/>
      <c r="AC36" s="6"/>
      <c r="AD36" s="9"/>
      <c r="AE36" s="6"/>
      <c r="AF36" s="9"/>
      <c r="AG36" s="6"/>
      <c r="AH36" s="9"/>
      <c r="AI36" s="6"/>
      <c r="AJ36" s="9"/>
      <c r="AK36" s="6"/>
      <c r="AL36" s="9"/>
      <c r="AM36" s="10" t="s">
        <v>396</v>
      </c>
      <c r="AN36" s="9">
        <v>1.0</v>
      </c>
      <c r="AO36" s="9"/>
      <c r="AP36" s="9"/>
      <c r="AQ36" s="9"/>
      <c r="AR36" s="9"/>
      <c r="AS36" s="9"/>
      <c r="AT36" s="9"/>
      <c r="AU36" s="9"/>
      <c r="AV36" s="9"/>
      <c r="AW36" s="9"/>
      <c r="AX36" s="9"/>
      <c r="AY36" s="9"/>
      <c r="AZ36" s="9"/>
      <c r="BA36" s="6"/>
      <c r="BB36" s="6"/>
      <c r="BC36" s="6"/>
      <c r="BD36" s="6"/>
      <c r="BE36" s="6"/>
      <c r="BF36" s="6"/>
      <c r="BG36" s="6"/>
      <c r="BH36" s="6"/>
      <c r="BI36" s="6"/>
      <c r="BJ36" s="6"/>
      <c r="BK36" s="6"/>
      <c r="BL36" s="6"/>
      <c r="BM36" s="6"/>
      <c r="BN36" s="6"/>
      <c r="BO36" s="6"/>
      <c r="BP36" s="6"/>
      <c r="BQ36" s="6"/>
      <c r="BR36" s="6"/>
      <c r="BS36" s="6"/>
      <c r="BT36" s="6"/>
      <c r="BU36" s="6"/>
      <c r="BV36" s="6"/>
    </row>
    <row r="37">
      <c r="A37" s="12"/>
      <c r="B37" s="9"/>
      <c r="C37" s="6" t="s">
        <v>397</v>
      </c>
      <c r="D37" s="9">
        <v>1.0</v>
      </c>
      <c r="E37" s="6"/>
      <c r="F37" s="9"/>
      <c r="G37" s="9" t="s">
        <v>398</v>
      </c>
      <c r="H37" s="9">
        <v>1.0</v>
      </c>
      <c r="I37" s="9"/>
      <c r="J37" s="9"/>
      <c r="K37" s="9"/>
      <c r="L37" s="9"/>
      <c r="M37" s="9"/>
      <c r="N37" s="9"/>
      <c r="O37" s="9"/>
      <c r="P37" s="9"/>
      <c r="Q37" s="9"/>
      <c r="R37" s="9"/>
      <c r="S37" s="6"/>
      <c r="T37" s="9"/>
      <c r="U37" s="6"/>
      <c r="V37" s="9"/>
      <c r="W37" s="6"/>
      <c r="X37" s="9"/>
      <c r="Y37" s="6"/>
      <c r="Z37" s="9"/>
      <c r="AA37" s="6"/>
      <c r="AB37" s="9"/>
      <c r="AC37" s="6"/>
      <c r="AD37" s="9"/>
      <c r="AE37" s="6"/>
      <c r="AF37" s="9"/>
      <c r="AG37" s="6"/>
      <c r="AH37" s="9"/>
      <c r="AI37" s="6"/>
      <c r="AJ37" s="9"/>
      <c r="AK37" s="6"/>
      <c r="AL37" s="9"/>
      <c r="AM37" s="10" t="s">
        <v>399</v>
      </c>
      <c r="AN37" s="9">
        <v>1.0</v>
      </c>
      <c r="AO37" s="9"/>
      <c r="AP37" s="9"/>
      <c r="AQ37" s="9"/>
      <c r="AR37" s="9"/>
      <c r="AS37" s="9"/>
      <c r="AT37" s="9"/>
      <c r="AU37" s="9"/>
      <c r="AV37" s="9"/>
      <c r="AW37" s="9"/>
      <c r="AX37" s="9"/>
      <c r="AY37" s="9"/>
      <c r="AZ37" s="9"/>
      <c r="BA37" s="6"/>
      <c r="BB37" s="6"/>
      <c r="BC37" s="6"/>
      <c r="BD37" s="6"/>
      <c r="BE37" s="6"/>
      <c r="BF37" s="6"/>
      <c r="BG37" s="6"/>
      <c r="BH37" s="6"/>
      <c r="BI37" s="6"/>
      <c r="BJ37" s="6"/>
      <c r="BK37" s="6"/>
      <c r="BL37" s="6"/>
      <c r="BM37" s="6"/>
      <c r="BN37" s="6"/>
      <c r="BO37" s="6"/>
      <c r="BP37" s="6"/>
      <c r="BQ37" s="6"/>
      <c r="BR37" s="6"/>
      <c r="BS37" s="6"/>
      <c r="BT37" s="6"/>
      <c r="BU37" s="6"/>
      <c r="BV37" s="6"/>
    </row>
    <row r="38">
      <c r="A38" s="12"/>
      <c r="B38" s="9"/>
      <c r="C38" s="6" t="s">
        <v>400</v>
      </c>
      <c r="D38" s="9">
        <v>1.0</v>
      </c>
      <c r="E38" s="6"/>
      <c r="F38" s="9"/>
      <c r="G38" s="9" t="s">
        <v>401</v>
      </c>
      <c r="H38" s="9">
        <v>1.0</v>
      </c>
      <c r="I38" s="9"/>
      <c r="J38" s="9"/>
      <c r="K38" s="9"/>
      <c r="L38" s="9"/>
      <c r="M38" s="9"/>
      <c r="N38" s="9"/>
      <c r="O38" s="9"/>
      <c r="P38" s="9"/>
      <c r="Q38" s="9"/>
      <c r="R38" s="9"/>
      <c r="S38" s="6"/>
      <c r="T38" s="9"/>
      <c r="U38" s="6"/>
      <c r="V38" s="9"/>
      <c r="W38" s="6"/>
      <c r="X38" s="9"/>
      <c r="Y38" s="6"/>
      <c r="Z38" s="9"/>
      <c r="AA38" s="6"/>
      <c r="AB38" s="9"/>
      <c r="AC38" s="6"/>
      <c r="AD38" s="9"/>
      <c r="AE38" s="6"/>
      <c r="AF38" s="9"/>
      <c r="AG38" s="6"/>
      <c r="AH38" s="9"/>
      <c r="AI38" s="6"/>
      <c r="AJ38" s="9"/>
      <c r="AK38" s="6"/>
      <c r="AL38" s="9"/>
      <c r="AM38" s="10" t="s">
        <v>402</v>
      </c>
      <c r="AN38" s="9">
        <v>1.0</v>
      </c>
      <c r="AO38" s="9"/>
      <c r="AP38" s="9"/>
      <c r="AQ38" s="9"/>
      <c r="AR38" s="9"/>
      <c r="AS38" s="9"/>
      <c r="AT38" s="9"/>
      <c r="AU38" s="9"/>
      <c r="AV38" s="9"/>
      <c r="AW38" s="9"/>
      <c r="AX38" s="9"/>
      <c r="AY38" s="9"/>
      <c r="AZ38" s="9"/>
      <c r="BA38" s="6"/>
      <c r="BB38" s="6"/>
      <c r="BC38" s="6"/>
      <c r="BD38" s="6"/>
      <c r="BE38" s="6"/>
      <c r="BF38" s="6"/>
      <c r="BG38" s="6"/>
      <c r="BH38" s="6"/>
      <c r="BI38" s="6"/>
      <c r="BJ38" s="6"/>
      <c r="BK38" s="6"/>
      <c r="BL38" s="6"/>
      <c r="BM38" s="6"/>
      <c r="BN38" s="6"/>
      <c r="BO38" s="6"/>
      <c r="BP38" s="6"/>
      <c r="BQ38" s="6"/>
      <c r="BR38" s="6"/>
      <c r="BS38" s="6"/>
      <c r="BT38" s="6"/>
      <c r="BU38" s="6"/>
      <c r="BV38" s="6"/>
    </row>
    <row r="39">
      <c r="A39" s="15"/>
      <c r="B39" s="9"/>
      <c r="C39" s="6" t="s">
        <v>403</v>
      </c>
      <c r="D39" s="9">
        <v>1.0</v>
      </c>
      <c r="E39" s="6"/>
      <c r="F39" s="9"/>
      <c r="G39" s="9" t="s">
        <v>404</v>
      </c>
      <c r="H39" s="9">
        <v>1.0</v>
      </c>
      <c r="I39" s="9"/>
      <c r="J39" s="9"/>
      <c r="K39" s="9"/>
      <c r="L39" s="9"/>
      <c r="M39" s="9"/>
      <c r="N39" s="9"/>
      <c r="O39" s="9"/>
      <c r="P39" s="9"/>
      <c r="Q39" s="9"/>
      <c r="R39" s="9"/>
      <c r="S39" s="6"/>
      <c r="T39" s="9"/>
      <c r="U39" s="6"/>
      <c r="V39" s="9"/>
      <c r="W39" s="6"/>
      <c r="X39" s="9"/>
      <c r="Y39" s="6"/>
      <c r="Z39" s="9"/>
      <c r="AA39" s="6"/>
      <c r="AB39" s="9"/>
      <c r="AC39" s="6"/>
      <c r="AD39" s="9"/>
      <c r="AE39" s="6"/>
      <c r="AF39" s="9"/>
      <c r="AG39" s="6"/>
      <c r="AH39" s="9"/>
      <c r="AI39" s="6"/>
      <c r="AJ39" s="9"/>
      <c r="AK39" s="6"/>
      <c r="AL39" s="9"/>
      <c r="AM39" s="10" t="s">
        <v>405</v>
      </c>
      <c r="AN39" s="9">
        <v>1.0</v>
      </c>
      <c r="AO39" s="9"/>
      <c r="AP39" s="9"/>
      <c r="AQ39" s="9"/>
      <c r="AR39" s="9"/>
      <c r="AS39" s="9"/>
      <c r="AT39" s="9"/>
      <c r="AU39" s="9"/>
      <c r="AV39" s="9"/>
      <c r="AW39" s="9"/>
      <c r="AX39" s="9"/>
      <c r="AY39" s="9"/>
      <c r="AZ39" s="9"/>
      <c r="BA39" s="6"/>
      <c r="BB39" s="6"/>
      <c r="BC39" s="6"/>
      <c r="BD39" s="6"/>
      <c r="BE39" s="6"/>
      <c r="BF39" s="6"/>
      <c r="BG39" s="6"/>
      <c r="BH39" s="6"/>
      <c r="BI39" s="6"/>
      <c r="BJ39" s="6"/>
      <c r="BK39" s="6"/>
      <c r="BL39" s="6"/>
      <c r="BM39" s="6"/>
      <c r="BN39" s="6"/>
      <c r="BO39" s="6"/>
      <c r="BP39" s="6"/>
      <c r="BQ39" s="6"/>
      <c r="BR39" s="6"/>
      <c r="BS39" s="6"/>
      <c r="BT39" s="6"/>
      <c r="BU39" s="6"/>
      <c r="BV39" s="6"/>
    </row>
    <row r="40">
      <c r="A40" s="12"/>
      <c r="B40" s="9"/>
      <c r="C40" s="6" t="s">
        <v>406</v>
      </c>
      <c r="D40" s="9">
        <v>1.0</v>
      </c>
      <c r="E40" s="6"/>
      <c r="F40" s="9"/>
      <c r="G40" s="9" t="s">
        <v>407</v>
      </c>
      <c r="H40" s="9">
        <v>0.0</v>
      </c>
      <c r="I40" s="9"/>
      <c r="J40" s="9"/>
      <c r="K40" s="9"/>
      <c r="L40" s="9"/>
      <c r="M40" s="9"/>
      <c r="N40" s="9"/>
      <c r="O40" s="9"/>
      <c r="P40" s="9"/>
      <c r="Q40" s="9"/>
      <c r="R40" s="9"/>
      <c r="S40" s="6"/>
      <c r="T40" s="6"/>
      <c r="U40" s="6"/>
      <c r="V40" s="6"/>
      <c r="W40" s="6"/>
      <c r="X40" s="6"/>
      <c r="Y40" s="6"/>
      <c r="Z40" s="6"/>
      <c r="AA40" s="6"/>
      <c r="AB40" s="6"/>
      <c r="AC40" s="6"/>
      <c r="AD40" s="6"/>
      <c r="AE40" s="6"/>
      <c r="AF40" s="6"/>
      <c r="AG40" s="6"/>
      <c r="AH40" s="6"/>
      <c r="AI40" s="6"/>
      <c r="AJ40" s="6"/>
      <c r="AK40" s="6"/>
      <c r="AL40" s="6"/>
      <c r="AM40" s="10" t="s">
        <v>408</v>
      </c>
      <c r="AN40" s="9">
        <v>1.0</v>
      </c>
      <c r="AO40" s="9"/>
      <c r="AP40" s="9"/>
      <c r="AQ40" s="9"/>
      <c r="AR40" s="9"/>
      <c r="AS40" s="9"/>
      <c r="AT40" s="9"/>
      <c r="AU40" s="9"/>
      <c r="AV40" s="9"/>
      <c r="AW40" s="9"/>
      <c r="AX40" s="9"/>
      <c r="AY40" s="9"/>
      <c r="AZ40" s="9"/>
      <c r="BA40" s="6"/>
      <c r="BB40" s="6"/>
      <c r="BC40" s="6"/>
      <c r="BD40" s="6"/>
      <c r="BE40" s="6"/>
      <c r="BF40" s="6"/>
      <c r="BG40" s="6"/>
      <c r="BH40" s="6"/>
      <c r="BI40" s="6"/>
      <c r="BJ40" s="6"/>
      <c r="BK40" s="6"/>
      <c r="BL40" s="6"/>
      <c r="BM40" s="6"/>
      <c r="BN40" s="6"/>
      <c r="BO40" s="6"/>
      <c r="BP40" s="6"/>
      <c r="BQ40" s="6"/>
      <c r="BR40" s="6"/>
      <c r="BS40" s="6"/>
      <c r="BT40" s="6"/>
      <c r="BU40" s="6"/>
      <c r="BV40" s="6"/>
    </row>
    <row r="41">
      <c r="A41" s="12"/>
      <c r="B41" s="9"/>
      <c r="C41" s="6" t="s">
        <v>128</v>
      </c>
      <c r="D41" s="9">
        <v>1.0</v>
      </c>
      <c r="E41" s="6"/>
      <c r="F41" s="9"/>
      <c r="G41" s="9" t="s">
        <v>409</v>
      </c>
      <c r="H41" s="9">
        <v>1.0</v>
      </c>
      <c r="I41" s="9"/>
      <c r="J41" s="9"/>
      <c r="K41" s="9"/>
      <c r="L41" s="9"/>
      <c r="M41" s="9"/>
      <c r="N41" s="9"/>
      <c r="O41" s="9"/>
      <c r="P41" s="9"/>
      <c r="Q41" s="9"/>
      <c r="R41" s="9"/>
      <c r="S41" s="6"/>
      <c r="T41" s="6"/>
      <c r="U41" s="6"/>
      <c r="V41" s="6"/>
      <c r="W41" s="6"/>
      <c r="X41" s="6"/>
      <c r="Y41" s="6"/>
      <c r="Z41" s="6"/>
      <c r="AA41" s="6"/>
      <c r="AB41" s="6"/>
      <c r="AC41" s="6"/>
      <c r="AD41" s="6"/>
      <c r="AE41" s="6"/>
      <c r="AF41" s="6"/>
      <c r="AG41" s="6"/>
      <c r="AH41" s="6"/>
      <c r="AI41" s="6"/>
      <c r="AJ41" s="6"/>
      <c r="AK41" s="6"/>
      <c r="AL41" s="6"/>
      <c r="AM41" s="10" t="s">
        <v>410</v>
      </c>
      <c r="AN41" s="9">
        <v>1.0</v>
      </c>
      <c r="AO41" s="9"/>
      <c r="AP41" s="9"/>
      <c r="AQ41" s="9"/>
      <c r="AR41" s="9"/>
      <c r="AS41" s="9"/>
      <c r="AT41" s="9"/>
      <c r="AU41" s="9"/>
      <c r="AV41" s="9"/>
      <c r="AW41" s="9"/>
      <c r="AX41" s="9"/>
      <c r="AY41" s="9"/>
      <c r="AZ41" s="9"/>
      <c r="BA41" s="6"/>
      <c r="BB41" s="6"/>
      <c r="BC41" s="6"/>
      <c r="BD41" s="6"/>
      <c r="BE41" s="6"/>
      <c r="BF41" s="6"/>
      <c r="BG41" s="6"/>
      <c r="BH41" s="6"/>
      <c r="BI41" s="6"/>
      <c r="BJ41" s="6"/>
      <c r="BK41" s="6"/>
      <c r="BL41" s="6"/>
      <c r="BM41" s="6"/>
      <c r="BN41" s="6"/>
      <c r="BO41" s="6"/>
      <c r="BP41" s="6"/>
      <c r="BQ41" s="6"/>
      <c r="BR41" s="6"/>
      <c r="BS41" s="6"/>
      <c r="BT41" s="6"/>
      <c r="BU41" s="6"/>
      <c r="BV41" s="6"/>
    </row>
    <row r="42">
      <c r="A42" s="12"/>
      <c r="B42" s="9"/>
      <c r="C42" s="6" t="s">
        <v>411</v>
      </c>
      <c r="D42" s="9">
        <v>1.0</v>
      </c>
      <c r="E42" s="6"/>
      <c r="F42" s="9"/>
      <c r="G42" s="9" t="s">
        <v>412</v>
      </c>
      <c r="H42" s="9">
        <v>1.0</v>
      </c>
      <c r="I42" s="9"/>
      <c r="J42" s="9"/>
      <c r="K42" s="9"/>
      <c r="L42" s="9"/>
      <c r="M42" s="9"/>
      <c r="N42" s="9"/>
      <c r="O42" s="9"/>
      <c r="P42" s="9"/>
      <c r="Q42" s="9"/>
      <c r="R42" s="9"/>
      <c r="S42" s="6"/>
      <c r="T42" s="6"/>
      <c r="U42" s="6"/>
      <c r="V42" s="6"/>
      <c r="W42" s="6"/>
      <c r="X42" s="6"/>
      <c r="Y42" s="6"/>
      <c r="Z42" s="6"/>
      <c r="AA42" s="6"/>
      <c r="AB42" s="6"/>
      <c r="AC42" s="6"/>
      <c r="AD42" s="6"/>
      <c r="AE42" s="6"/>
      <c r="AF42" s="6"/>
      <c r="AG42" s="6"/>
      <c r="AH42" s="6"/>
      <c r="AI42" s="6"/>
      <c r="AJ42" s="6"/>
      <c r="AK42" s="6"/>
      <c r="AL42" s="6"/>
      <c r="AM42" s="10" t="s">
        <v>413</v>
      </c>
      <c r="AN42" s="9">
        <v>1.0</v>
      </c>
      <c r="AO42" s="9"/>
      <c r="AP42" s="9"/>
      <c r="AQ42" s="9"/>
      <c r="AR42" s="9"/>
      <c r="AS42" s="9"/>
      <c r="AT42" s="9"/>
      <c r="AU42" s="9"/>
      <c r="AV42" s="9"/>
      <c r="AW42" s="9"/>
      <c r="AX42" s="9"/>
      <c r="AY42" s="9"/>
      <c r="AZ42" s="9"/>
      <c r="BA42" s="6"/>
      <c r="BB42" s="6"/>
      <c r="BC42" s="6"/>
      <c r="BD42" s="6"/>
      <c r="BE42" s="6"/>
      <c r="BF42" s="6"/>
      <c r="BG42" s="6"/>
      <c r="BH42" s="6"/>
      <c r="BI42" s="6"/>
      <c r="BJ42" s="6"/>
      <c r="BK42" s="6"/>
      <c r="BL42" s="6"/>
      <c r="BM42" s="6"/>
      <c r="BN42" s="6"/>
      <c r="BO42" s="6"/>
      <c r="BP42" s="6"/>
      <c r="BQ42" s="6"/>
      <c r="BR42" s="6"/>
      <c r="BS42" s="6"/>
      <c r="BT42" s="6"/>
      <c r="BU42" s="6"/>
      <c r="BV42" s="6"/>
    </row>
    <row r="43">
      <c r="A43" s="12"/>
      <c r="B43" s="9"/>
      <c r="C43" s="6" t="s">
        <v>414</v>
      </c>
      <c r="D43" s="9">
        <v>1.0</v>
      </c>
      <c r="E43" s="6"/>
      <c r="F43" s="9"/>
      <c r="G43" s="9" t="s">
        <v>415</v>
      </c>
      <c r="H43" s="9">
        <v>1.0</v>
      </c>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10" t="s">
        <v>416</v>
      </c>
      <c r="AN43" s="9">
        <v>1.0</v>
      </c>
      <c r="AO43" s="9"/>
      <c r="AP43" s="9"/>
      <c r="AQ43" s="9"/>
      <c r="AR43" s="9"/>
      <c r="AS43" s="9"/>
      <c r="AT43" s="9"/>
      <c r="AU43" s="9"/>
      <c r="AV43" s="9"/>
      <c r="AW43" s="9"/>
      <c r="AX43" s="9"/>
      <c r="AY43" s="9"/>
      <c r="AZ43" s="9"/>
      <c r="BA43" s="6"/>
      <c r="BB43" s="6"/>
      <c r="BC43" s="6"/>
      <c r="BD43" s="6"/>
      <c r="BE43" s="6"/>
      <c r="BF43" s="6"/>
      <c r="BG43" s="6"/>
      <c r="BH43" s="6"/>
      <c r="BI43" s="6"/>
      <c r="BJ43" s="6"/>
      <c r="BK43" s="6"/>
      <c r="BL43" s="6"/>
      <c r="BM43" s="6"/>
      <c r="BN43" s="6"/>
      <c r="BO43" s="6"/>
      <c r="BP43" s="6"/>
      <c r="BQ43" s="6"/>
      <c r="BR43" s="6"/>
      <c r="BS43" s="6"/>
      <c r="BT43" s="6"/>
      <c r="BU43" s="6"/>
      <c r="BV43" s="6"/>
    </row>
    <row r="44">
      <c r="A44" s="12"/>
      <c r="B44" s="9"/>
      <c r="C44" s="6" t="s">
        <v>417</v>
      </c>
      <c r="D44" s="9">
        <v>1.0</v>
      </c>
      <c r="E44" s="6"/>
      <c r="F44" s="9"/>
      <c r="G44" s="9" t="s">
        <v>418</v>
      </c>
      <c r="H44" s="9">
        <v>1.0</v>
      </c>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10" t="s">
        <v>419</v>
      </c>
      <c r="AN44" s="9">
        <v>1.0</v>
      </c>
      <c r="AO44" s="9"/>
      <c r="AP44" s="9"/>
      <c r="AQ44" s="9"/>
      <c r="AR44" s="9"/>
      <c r="AS44" s="9"/>
      <c r="AT44" s="9"/>
      <c r="AU44" s="9"/>
      <c r="AV44" s="9"/>
      <c r="AW44" s="9"/>
      <c r="AX44" s="9"/>
      <c r="AY44" s="9"/>
      <c r="AZ44" s="9"/>
      <c r="BA44" s="6"/>
      <c r="BB44" s="6"/>
      <c r="BC44" s="6"/>
      <c r="BD44" s="6"/>
      <c r="BE44" s="6"/>
      <c r="BF44" s="6"/>
      <c r="BG44" s="6"/>
      <c r="BH44" s="6"/>
      <c r="BI44" s="6"/>
      <c r="BJ44" s="6"/>
      <c r="BK44" s="6"/>
      <c r="BL44" s="6"/>
      <c r="BM44" s="6"/>
      <c r="BN44" s="6"/>
      <c r="BO44" s="6"/>
      <c r="BP44" s="6"/>
      <c r="BQ44" s="6"/>
      <c r="BR44" s="6"/>
      <c r="BS44" s="6"/>
      <c r="BT44" s="6"/>
      <c r="BU44" s="6"/>
      <c r="BV44" s="6"/>
    </row>
    <row r="45">
      <c r="A45" s="12"/>
      <c r="B45" s="9"/>
      <c r="C45" s="6" t="s">
        <v>420</v>
      </c>
      <c r="D45" s="9">
        <v>1.0</v>
      </c>
      <c r="E45" s="6"/>
      <c r="F45" s="9"/>
      <c r="G45" s="9" t="s">
        <v>421</v>
      </c>
      <c r="H45" s="9">
        <v>1.0</v>
      </c>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10" t="s">
        <v>422</v>
      </c>
      <c r="AN45" s="9">
        <v>1.0</v>
      </c>
      <c r="AO45" s="9"/>
      <c r="AP45" s="9"/>
      <c r="AQ45" s="9"/>
      <c r="AR45" s="9"/>
      <c r="AS45" s="9"/>
      <c r="AT45" s="9"/>
      <c r="AU45" s="9"/>
      <c r="AV45" s="9"/>
      <c r="AW45" s="9"/>
      <c r="AX45" s="9"/>
      <c r="AY45" s="9"/>
      <c r="AZ45" s="9"/>
      <c r="BA45" s="6"/>
      <c r="BB45" s="6"/>
      <c r="BC45" s="6"/>
      <c r="BD45" s="6"/>
      <c r="BE45" s="6"/>
      <c r="BF45" s="6"/>
      <c r="BG45" s="6"/>
      <c r="BH45" s="6"/>
      <c r="BI45" s="6"/>
      <c r="BJ45" s="6"/>
      <c r="BK45" s="6"/>
      <c r="BL45" s="6"/>
      <c r="BM45" s="6"/>
      <c r="BN45" s="6"/>
      <c r="BO45" s="6"/>
      <c r="BP45" s="6"/>
      <c r="BQ45" s="6"/>
      <c r="BR45" s="6"/>
      <c r="BS45" s="6"/>
      <c r="BT45" s="6"/>
      <c r="BU45" s="6"/>
      <c r="BV45" s="6"/>
    </row>
    <row r="46">
      <c r="A46" s="12"/>
      <c r="B46" s="9"/>
      <c r="C46" s="6" t="s">
        <v>423</v>
      </c>
      <c r="D46" s="9">
        <v>1.0</v>
      </c>
      <c r="E46" s="6"/>
      <c r="F46" s="9"/>
      <c r="G46" s="9" t="s">
        <v>424</v>
      </c>
      <c r="H46" s="9">
        <v>1.0</v>
      </c>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10" t="s">
        <v>425</v>
      </c>
      <c r="AN46" s="9">
        <v>1.0</v>
      </c>
      <c r="AO46" s="9"/>
      <c r="AP46" s="9"/>
      <c r="AQ46" s="9"/>
      <c r="AR46" s="9"/>
      <c r="AS46" s="9"/>
      <c r="AT46" s="9"/>
      <c r="AU46" s="9"/>
      <c r="AV46" s="9"/>
      <c r="AW46" s="9"/>
      <c r="AX46" s="9"/>
      <c r="AY46" s="9"/>
      <c r="AZ46" s="9"/>
      <c r="BA46" s="6"/>
      <c r="BB46" s="6"/>
      <c r="BC46" s="6"/>
      <c r="BD46" s="6"/>
      <c r="BE46" s="6"/>
      <c r="BF46" s="6"/>
      <c r="BG46" s="6"/>
      <c r="BH46" s="6"/>
      <c r="BI46" s="6"/>
      <c r="BJ46" s="6"/>
      <c r="BK46" s="6"/>
      <c r="BL46" s="6"/>
      <c r="BM46" s="6"/>
      <c r="BN46" s="6"/>
      <c r="BO46" s="6"/>
      <c r="BP46" s="6"/>
      <c r="BQ46" s="6"/>
      <c r="BR46" s="6"/>
      <c r="BS46" s="6"/>
      <c r="BT46" s="6"/>
      <c r="BU46" s="6"/>
      <c r="BV46" s="6"/>
    </row>
    <row r="47">
      <c r="A47" s="7"/>
      <c r="B47" s="9"/>
      <c r="C47" s="6" t="s">
        <v>426</v>
      </c>
      <c r="D47" s="9">
        <v>1.0</v>
      </c>
      <c r="E47" s="6"/>
      <c r="F47" s="9"/>
      <c r="G47" s="9" t="s">
        <v>427</v>
      </c>
      <c r="H47" s="9">
        <v>1.0</v>
      </c>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10" t="s">
        <v>428</v>
      </c>
      <c r="AN47" s="9">
        <v>1.0</v>
      </c>
      <c r="AO47" s="9"/>
      <c r="AP47" s="9"/>
      <c r="AQ47" s="9"/>
      <c r="AR47" s="9"/>
      <c r="AS47" s="9"/>
      <c r="AT47" s="9"/>
      <c r="AU47" s="9"/>
      <c r="AV47" s="9"/>
      <c r="AW47" s="9"/>
      <c r="AX47" s="9"/>
      <c r="AY47" s="9"/>
      <c r="AZ47" s="9"/>
      <c r="BA47" s="6"/>
      <c r="BB47" s="6"/>
      <c r="BC47" s="6"/>
      <c r="BD47" s="6"/>
      <c r="BE47" s="6"/>
      <c r="BF47" s="6"/>
      <c r="BG47" s="6"/>
      <c r="BH47" s="6"/>
      <c r="BI47" s="6"/>
      <c r="BJ47" s="6"/>
      <c r="BK47" s="6"/>
      <c r="BL47" s="6"/>
      <c r="BM47" s="6"/>
      <c r="BN47" s="6"/>
      <c r="BO47" s="6"/>
      <c r="BP47" s="6"/>
      <c r="BQ47" s="6"/>
      <c r="BR47" s="6"/>
      <c r="BS47" s="6"/>
      <c r="BT47" s="6"/>
      <c r="BU47" s="6"/>
      <c r="BV47" s="6"/>
    </row>
    <row r="48">
      <c r="A48" s="7"/>
      <c r="B48" s="9"/>
      <c r="C48" s="6" t="s">
        <v>429</v>
      </c>
      <c r="D48" s="9">
        <v>1.0</v>
      </c>
      <c r="E48" s="6"/>
      <c r="F48" s="9"/>
      <c r="G48" s="9" t="s">
        <v>430</v>
      </c>
      <c r="H48" s="9">
        <v>0.0</v>
      </c>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10" t="s">
        <v>431</v>
      </c>
      <c r="AN48" s="9">
        <v>1.0</v>
      </c>
      <c r="AO48" s="9"/>
      <c r="AP48" s="9"/>
      <c r="AQ48" s="9"/>
      <c r="AR48" s="9"/>
      <c r="AS48" s="9"/>
      <c r="AT48" s="9"/>
      <c r="AU48" s="9"/>
      <c r="AV48" s="9"/>
      <c r="AW48" s="9"/>
      <c r="AX48" s="9"/>
      <c r="AY48" s="9"/>
      <c r="AZ48" s="9"/>
      <c r="BA48" s="6"/>
      <c r="BB48" s="6"/>
      <c r="BC48" s="6"/>
      <c r="BD48" s="6"/>
      <c r="BE48" s="6"/>
      <c r="BF48" s="6"/>
      <c r="BG48" s="6"/>
      <c r="BH48" s="6"/>
      <c r="BI48" s="6"/>
      <c r="BJ48" s="6"/>
      <c r="BK48" s="6"/>
      <c r="BL48" s="6"/>
      <c r="BM48" s="6"/>
      <c r="BN48" s="6"/>
      <c r="BO48" s="6"/>
      <c r="BP48" s="6"/>
      <c r="BQ48" s="6"/>
      <c r="BR48" s="6"/>
      <c r="BS48" s="6"/>
      <c r="BT48" s="6"/>
      <c r="BU48" s="6"/>
      <c r="BV48" s="6"/>
    </row>
    <row r="49">
      <c r="A49" s="12"/>
      <c r="B49" s="9"/>
      <c r="C49" s="6" t="s">
        <v>432</v>
      </c>
      <c r="D49" s="9">
        <v>1.0</v>
      </c>
      <c r="E49" s="6"/>
      <c r="F49" s="9"/>
      <c r="G49" s="9" t="s">
        <v>433</v>
      </c>
      <c r="H49" s="9">
        <v>1.0</v>
      </c>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10" t="s">
        <v>434</v>
      </c>
      <c r="AN49" s="9">
        <v>1.0</v>
      </c>
      <c r="AO49" s="9"/>
      <c r="AP49" s="9"/>
      <c r="AQ49" s="9"/>
      <c r="AR49" s="9"/>
      <c r="AS49" s="9"/>
      <c r="AT49" s="9"/>
      <c r="AU49" s="9"/>
      <c r="AV49" s="9"/>
      <c r="AW49" s="9"/>
      <c r="AX49" s="9"/>
      <c r="AY49" s="9"/>
      <c r="AZ49" s="9"/>
      <c r="BA49" s="6"/>
      <c r="BB49" s="6"/>
      <c r="BC49" s="6"/>
      <c r="BD49" s="6"/>
      <c r="BE49" s="6"/>
      <c r="BF49" s="6"/>
      <c r="BG49" s="6"/>
      <c r="BH49" s="6"/>
      <c r="BI49" s="6"/>
      <c r="BJ49" s="6"/>
      <c r="BK49" s="6"/>
      <c r="BL49" s="6"/>
      <c r="BM49" s="6"/>
      <c r="BN49" s="6"/>
      <c r="BO49" s="6"/>
      <c r="BP49" s="6"/>
      <c r="BQ49" s="6"/>
      <c r="BR49" s="6"/>
      <c r="BS49" s="6"/>
      <c r="BT49" s="6"/>
      <c r="BU49" s="6"/>
      <c r="BV49" s="6"/>
    </row>
    <row r="50">
      <c r="A50" s="12"/>
      <c r="B50" s="9"/>
      <c r="C50" s="6" t="s">
        <v>435</v>
      </c>
      <c r="D50" s="9">
        <v>1.0</v>
      </c>
      <c r="E50" s="6"/>
      <c r="F50" s="9"/>
      <c r="G50" s="9" t="s">
        <v>436</v>
      </c>
      <c r="H50" s="9">
        <v>1.0</v>
      </c>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10" t="s">
        <v>437</v>
      </c>
      <c r="AN50" s="9">
        <v>1.0</v>
      </c>
      <c r="AO50" s="9"/>
      <c r="AP50" s="9"/>
      <c r="AQ50" s="9"/>
      <c r="AR50" s="9"/>
      <c r="AS50" s="9"/>
      <c r="AT50" s="9"/>
      <c r="AU50" s="9"/>
      <c r="AV50" s="9"/>
      <c r="AW50" s="9"/>
      <c r="AX50" s="9"/>
      <c r="AY50" s="9"/>
      <c r="AZ50" s="9"/>
      <c r="BA50" s="6"/>
      <c r="BB50" s="6"/>
      <c r="BC50" s="6"/>
      <c r="BD50" s="6"/>
      <c r="BE50" s="6"/>
      <c r="BF50" s="6"/>
      <c r="BG50" s="6"/>
      <c r="BH50" s="6"/>
      <c r="BI50" s="6"/>
      <c r="BJ50" s="6"/>
      <c r="BK50" s="6"/>
      <c r="BL50" s="6"/>
      <c r="BM50" s="6"/>
      <c r="BN50" s="6"/>
      <c r="BO50" s="6"/>
      <c r="BP50" s="6"/>
      <c r="BQ50" s="6"/>
      <c r="BR50" s="6"/>
      <c r="BS50" s="6"/>
      <c r="BT50" s="6"/>
      <c r="BU50" s="6"/>
      <c r="BV50" s="6"/>
    </row>
    <row r="51">
      <c r="A51" s="12"/>
      <c r="B51" s="9"/>
      <c r="C51" s="6" t="s">
        <v>438</v>
      </c>
      <c r="D51" s="9">
        <v>1.0</v>
      </c>
      <c r="E51" s="6"/>
      <c r="F51" s="9"/>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10" t="s">
        <v>439</v>
      </c>
      <c r="AN51" s="9">
        <v>1.0</v>
      </c>
      <c r="AO51" s="9"/>
      <c r="AP51" s="9"/>
      <c r="AQ51" s="9"/>
      <c r="AR51" s="9"/>
      <c r="AS51" s="9"/>
      <c r="AT51" s="9"/>
      <c r="AU51" s="9"/>
      <c r="AV51" s="9"/>
      <c r="AW51" s="9"/>
      <c r="AX51" s="9"/>
      <c r="AY51" s="9"/>
      <c r="AZ51" s="9"/>
      <c r="BA51" s="6"/>
      <c r="BB51" s="6"/>
      <c r="BC51" s="6"/>
      <c r="BD51" s="6"/>
      <c r="BE51" s="6"/>
      <c r="BF51" s="6"/>
      <c r="BG51" s="6"/>
      <c r="BH51" s="6"/>
      <c r="BI51" s="6"/>
      <c r="BJ51" s="6"/>
      <c r="BK51" s="6"/>
      <c r="BL51" s="6"/>
      <c r="BM51" s="6"/>
      <c r="BN51" s="6"/>
      <c r="BO51" s="6"/>
      <c r="BP51" s="6"/>
      <c r="BQ51" s="6"/>
      <c r="BR51" s="6"/>
      <c r="BS51" s="6"/>
      <c r="BT51" s="6"/>
      <c r="BU51" s="6"/>
      <c r="BV51" s="6"/>
    </row>
    <row r="52">
      <c r="A52" s="12"/>
      <c r="B52" s="9"/>
      <c r="C52" s="6" t="s">
        <v>58</v>
      </c>
      <c r="D52" s="9">
        <v>1.0</v>
      </c>
      <c r="E52" s="6"/>
      <c r="F52" s="9"/>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10" t="s">
        <v>440</v>
      </c>
      <c r="AN52" s="9">
        <v>1.0</v>
      </c>
      <c r="AO52" s="9"/>
      <c r="AP52" s="9"/>
      <c r="AQ52" s="9"/>
      <c r="AR52" s="9"/>
      <c r="AS52" s="9"/>
      <c r="AT52" s="9"/>
      <c r="AU52" s="9"/>
      <c r="AV52" s="9"/>
      <c r="AW52" s="9"/>
      <c r="AX52" s="9"/>
      <c r="AY52" s="9"/>
      <c r="AZ52" s="9"/>
      <c r="BA52" s="6"/>
      <c r="BB52" s="6"/>
      <c r="BC52" s="6"/>
      <c r="BD52" s="6"/>
      <c r="BE52" s="6"/>
      <c r="BF52" s="6"/>
      <c r="BG52" s="6"/>
      <c r="BH52" s="6"/>
      <c r="BI52" s="6"/>
      <c r="BJ52" s="6"/>
      <c r="BK52" s="6"/>
      <c r="BL52" s="6"/>
      <c r="BM52" s="6"/>
      <c r="BN52" s="6"/>
      <c r="BO52" s="6"/>
      <c r="BP52" s="6"/>
      <c r="BQ52" s="6"/>
      <c r="BR52" s="6"/>
      <c r="BS52" s="6"/>
      <c r="BT52" s="6"/>
      <c r="BU52" s="6"/>
      <c r="BV52" s="6"/>
    </row>
    <row r="53">
      <c r="A53" s="13"/>
      <c r="B53" s="9"/>
      <c r="C53" s="6" t="s">
        <v>441</v>
      </c>
      <c r="D53" s="9">
        <v>1.0</v>
      </c>
      <c r="E53" s="6"/>
      <c r="F53" s="9"/>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10" t="s">
        <v>442</v>
      </c>
      <c r="AN53" s="9">
        <v>1.0</v>
      </c>
      <c r="AO53" s="9"/>
      <c r="AP53" s="9"/>
      <c r="AQ53" s="9"/>
      <c r="AR53" s="9"/>
      <c r="AS53" s="9"/>
      <c r="AT53" s="9"/>
      <c r="AU53" s="9"/>
      <c r="AV53" s="9"/>
      <c r="AW53" s="9"/>
      <c r="AX53" s="9"/>
      <c r="AY53" s="9"/>
      <c r="AZ53" s="9"/>
      <c r="BA53" s="6"/>
      <c r="BB53" s="6"/>
      <c r="BC53" s="6"/>
      <c r="BD53" s="6"/>
      <c r="BE53" s="6"/>
      <c r="BF53" s="6"/>
      <c r="BG53" s="6"/>
      <c r="BH53" s="6"/>
      <c r="BI53" s="6"/>
      <c r="BJ53" s="6"/>
      <c r="BK53" s="6"/>
      <c r="BL53" s="6"/>
      <c r="BM53" s="6"/>
      <c r="BN53" s="6"/>
      <c r="BO53" s="6"/>
      <c r="BP53" s="6"/>
      <c r="BQ53" s="6"/>
      <c r="BR53" s="6"/>
      <c r="BS53" s="6"/>
      <c r="BT53" s="6"/>
      <c r="BU53" s="6"/>
      <c r="BV53" s="6"/>
    </row>
    <row r="54">
      <c r="A54" s="12"/>
      <c r="B54" s="9"/>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10" t="s">
        <v>443</v>
      </c>
      <c r="AN54" s="9">
        <v>1.0</v>
      </c>
      <c r="AO54" s="9"/>
      <c r="AP54" s="9"/>
      <c r="AQ54" s="9"/>
      <c r="AR54" s="9"/>
      <c r="AS54" s="9"/>
      <c r="AT54" s="9"/>
      <c r="AU54" s="9"/>
      <c r="AV54" s="9"/>
      <c r="AW54" s="9"/>
      <c r="AX54" s="9"/>
      <c r="AY54" s="9"/>
      <c r="AZ54" s="9"/>
      <c r="BA54" s="6"/>
      <c r="BB54" s="6"/>
      <c r="BC54" s="6"/>
      <c r="BD54" s="6"/>
      <c r="BE54" s="6"/>
      <c r="BF54" s="6"/>
      <c r="BG54" s="6"/>
      <c r="BH54" s="6"/>
      <c r="BI54" s="6"/>
      <c r="BJ54" s="6"/>
      <c r="BK54" s="6"/>
      <c r="BL54" s="6"/>
      <c r="BM54" s="6"/>
      <c r="BN54" s="6"/>
      <c r="BO54" s="6"/>
      <c r="BP54" s="6"/>
      <c r="BQ54" s="6"/>
      <c r="BR54" s="6"/>
      <c r="BS54" s="6"/>
      <c r="BT54" s="6"/>
      <c r="BU54" s="6"/>
      <c r="BV54" s="6"/>
    </row>
    <row r="55">
      <c r="A55" s="13"/>
      <c r="B55" s="9"/>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10" t="s">
        <v>444</v>
      </c>
      <c r="AN55" s="9">
        <v>1.0</v>
      </c>
      <c r="AO55" s="9"/>
      <c r="AP55" s="9"/>
      <c r="AQ55" s="9"/>
      <c r="AR55" s="9"/>
      <c r="AS55" s="9"/>
      <c r="AT55" s="9"/>
      <c r="AU55" s="9"/>
      <c r="AV55" s="9"/>
      <c r="AW55" s="9"/>
      <c r="AX55" s="9"/>
      <c r="AY55" s="9"/>
      <c r="AZ55" s="9"/>
      <c r="BA55" s="6"/>
      <c r="BB55" s="6"/>
      <c r="BC55" s="6"/>
      <c r="BD55" s="6"/>
      <c r="BE55" s="6"/>
      <c r="BF55" s="6"/>
      <c r="BG55" s="6"/>
      <c r="BH55" s="6"/>
      <c r="BI55" s="6"/>
      <c r="BJ55" s="6"/>
      <c r="BK55" s="6"/>
      <c r="BL55" s="6"/>
      <c r="BM55" s="6"/>
      <c r="BN55" s="6"/>
      <c r="BO55" s="6"/>
      <c r="BP55" s="6"/>
      <c r="BQ55" s="6"/>
      <c r="BR55" s="6"/>
      <c r="BS55" s="6"/>
      <c r="BT55" s="6"/>
      <c r="BU55" s="6"/>
      <c r="BV55" s="6"/>
    </row>
    <row r="56">
      <c r="A56" s="13"/>
      <c r="B56" s="9"/>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10" t="s">
        <v>445</v>
      </c>
      <c r="AN56" s="9">
        <v>1.0</v>
      </c>
      <c r="AO56" s="9"/>
      <c r="AP56" s="9"/>
      <c r="AQ56" s="9"/>
      <c r="AR56" s="9"/>
      <c r="AS56" s="9"/>
      <c r="AT56" s="9"/>
      <c r="AU56" s="9"/>
      <c r="AV56" s="9"/>
      <c r="AW56" s="9"/>
      <c r="AX56" s="9"/>
      <c r="AY56" s="9"/>
      <c r="AZ56" s="9"/>
      <c r="BA56" s="6"/>
      <c r="BB56" s="6"/>
      <c r="BC56" s="6"/>
      <c r="BD56" s="6"/>
      <c r="BE56" s="6"/>
      <c r="BF56" s="6"/>
      <c r="BG56" s="6"/>
      <c r="BH56" s="6"/>
      <c r="BI56" s="6"/>
      <c r="BJ56" s="6"/>
      <c r="BK56" s="6"/>
      <c r="BL56" s="6"/>
      <c r="BM56" s="6"/>
      <c r="BN56" s="6"/>
      <c r="BO56" s="6"/>
      <c r="BP56" s="6"/>
      <c r="BQ56" s="6"/>
      <c r="BR56" s="6"/>
      <c r="BS56" s="6"/>
      <c r="BT56" s="6"/>
      <c r="BU56" s="6"/>
      <c r="BV56" s="6"/>
    </row>
    <row r="57">
      <c r="A57" s="13"/>
      <c r="B57" s="9"/>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10" t="s">
        <v>446</v>
      </c>
      <c r="AN57" s="9">
        <v>1.0</v>
      </c>
      <c r="AO57" s="9"/>
      <c r="AP57" s="9"/>
      <c r="AQ57" s="9"/>
      <c r="AR57" s="9"/>
      <c r="AS57" s="9"/>
      <c r="AT57" s="9"/>
      <c r="AU57" s="9"/>
      <c r="AV57" s="9"/>
      <c r="AW57" s="9"/>
      <c r="AX57" s="9"/>
      <c r="AY57" s="9"/>
      <c r="AZ57" s="9"/>
      <c r="BA57" s="6"/>
      <c r="BB57" s="6"/>
      <c r="BC57" s="6"/>
      <c r="BD57" s="6"/>
      <c r="BE57" s="6"/>
      <c r="BF57" s="6"/>
      <c r="BG57" s="6"/>
      <c r="BH57" s="6"/>
      <c r="BI57" s="6"/>
      <c r="BJ57" s="6"/>
      <c r="BK57" s="6"/>
      <c r="BL57" s="6"/>
      <c r="BM57" s="6"/>
      <c r="BN57" s="6"/>
      <c r="BO57" s="6"/>
      <c r="BP57" s="6"/>
      <c r="BQ57" s="6"/>
      <c r="BR57" s="6"/>
      <c r="BS57" s="6"/>
      <c r="BT57" s="6"/>
      <c r="BU57" s="6"/>
      <c r="BV57" s="6"/>
    </row>
    <row r="58">
      <c r="A58" s="13"/>
      <c r="B58" s="9"/>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10" t="s">
        <v>447</v>
      </c>
      <c r="AN58" s="9">
        <v>1.0</v>
      </c>
      <c r="AO58" s="9"/>
      <c r="AP58" s="9"/>
      <c r="AQ58" s="9"/>
      <c r="AR58" s="9"/>
      <c r="AS58" s="9"/>
      <c r="AT58" s="9"/>
      <c r="AU58" s="9"/>
      <c r="AV58" s="9"/>
      <c r="AW58" s="9"/>
      <c r="AX58" s="9"/>
      <c r="AY58" s="9"/>
      <c r="AZ58" s="9"/>
      <c r="BA58" s="6"/>
      <c r="BB58" s="6"/>
      <c r="BC58" s="6"/>
      <c r="BD58" s="6"/>
      <c r="BE58" s="6"/>
      <c r="BF58" s="6"/>
      <c r="BG58" s="6"/>
      <c r="BH58" s="6"/>
      <c r="BI58" s="6"/>
      <c r="BJ58" s="6"/>
      <c r="BK58" s="6"/>
      <c r="BL58" s="6"/>
      <c r="BM58" s="6"/>
      <c r="BN58" s="6"/>
      <c r="BO58" s="6"/>
      <c r="BP58" s="6"/>
      <c r="BQ58" s="6"/>
      <c r="BR58" s="6"/>
      <c r="BS58" s="6"/>
      <c r="BT58" s="6"/>
      <c r="BU58" s="6"/>
      <c r="BV58" s="6"/>
    </row>
    <row r="59">
      <c r="A59" s="12"/>
      <c r="B59" s="9"/>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10" t="s">
        <v>448</v>
      </c>
      <c r="AN59" s="9">
        <v>1.0</v>
      </c>
      <c r="AO59" s="9"/>
      <c r="AP59" s="9"/>
      <c r="AQ59" s="9"/>
      <c r="AR59" s="9"/>
      <c r="AS59" s="9"/>
      <c r="AT59" s="9"/>
      <c r="AU59" s="9"/>
      <c r="AV59" s="9"/>
      <c r="AW59" s="9"/>
      <c r="AX59" s="9"/>
      <c r="AY59" s="9"/>
      <c r="AZ59" s="9"/>
      <c r="BA59" s="6"/>
      <c r="BB59" s="6"/>
      <c r="BC59" s="6"/>
      <c r="BD59" s="6"/>
      <c r="BE59" s="6"/>
      <c r="BF59" s="6"/>
      <c r="BG59" s="6"/>
      <c r="BH59" s="6"/>
      <c r="BI59" s="6"/>
      <c r="BJ59" s="6"/>
      <c r="BK59" s="6"/>
      <c r="BL59" s="6"/>
      <c r="BM59" s="6"/>
      <c r="BN59" s="6"/>
      <c r="BO59" s="6"/>
      <c r="BP59" s="6"/>
      <c r="BQ59" s="6"/>
      <c r="BR59" s="6"/>
      <c r="BS59" s="6"/>
      <c r="BT59" s="6"/>
      <c r="BU59" s="6"/>
      <c r="BV59" s="6"/>
    </row>
    <row r="60">
      <c r="A60" s="12"/>
      <c r="B60" s="9"/>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10" t="s">
        <v>449</v>
      </c>
      <c r="AN60" s="9">
        <v>1.0</v>
      </c>
      <c r="AO60" s="9"/>
      <c r="AP60" s="9"/>
      <c r="AQ60" s="9"/>
      <c r="AR60" s="9"/>
      <c r="AS60" s="9"/>
      <c r="AT60" s="9"/>
      <c r="AU60" s="9"/>
      <c r="AV60" s="9"/>
      <c r="AW60" s="9"/>
      <c r="AX60" s="9"/>
      <c r="AY60" s="9"/>
      <c r="AZ60" s="9"/>
      <c r="BA60" s="6"/>
      <c r="BB60" s="6"/>
      <c r="BC60" s="6"/>
      <c r="BD60" s="6"/>
      <c r="BE60" s="6"/>
      <c r="BF60" s="6"/>
      <c r="BG60" s="6"/>
      <c r="BH60" s="6"/>
      <c r="BI60" s="6"/>
      <c r="BJ60" s="6"/>
      <c r="BK60" s="6"/>
      <c r="BL60" s="6"/>
      <c r="BM60" s="6"/>
      <c r="BN60" s="6"/>
      <c r="BO60" s="6"/>
      <c r="BP60" s="6"/>
      <c r="BQ60" s="6"/>
      <c r="BR60" s="6"/>
      <c r="BS60" s="6"/>
      <c r="BT60" s="6"/>
      <c r="BU60" s="6"/>
      <c r="BV60" s="6"/>
    </row>
    <row r="61">
      <c r="A61" s="12"/>
      <c r="B61" s="9"/>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10" t="s">
        <v>450</v>
      </c>
      <c r="AN61" s="9">
        <v>1.0</v>
      </c>
      <c r="AO61" s="9"/>
      <c r="AP61" s="9"/>
      <c r="AQ61" s="9"/>
      <c r="AR61" s="9"/>
      <c r="AS61" s="9"/>
      <c r="AT61" s="9"/>
      <c r="AU61" s="9"/>
      <c r="AV61" s="9"/>
      <c r="AW61" s="9"/>
      <c r="AX61" s="9"/>
      <c r="AY61" s="9"/>
      <c r="AZ61" s="9"/>
      <c r="BA61" s="6"/>
      <c r="BB61" s="6"/>
      <c r="BC61" s="6"/>
      <c r="BD61" s="6"/>
      <c r="BE61" s="6"/>
      <c r="BF61" s="6"/>
      <c r="BG61" s="6"/>
      <c r="BH61" s="6"/>
      <c r="BI61" s="6"/>
      <c r="BJ61" s="6"/>
      <c r="BK61" s="6"/>
      <c r="BL61" s="6"/>
      <c r="BM61" s="6"/>
      <c r="BN61" s="6"/>
      <c r="BO61" s="6"/>
      <c r="BP61" s="6"/>
      <c r="BQ61" s="6"/>
      <c r="BR61" s="6"/>
      <c r="BS61" s="6"/>
      <c r="BT61" s="6"/>
      <c r="BU61" s="6"/>
      <c r="BV61" s="6"/>
    </row>
    <row r="62">
      <c r="A62" s="12"/>
      <c r="B62" s="9"/>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10" t="s">
        <v>451</v>
      </c>
      <c r="AN62" s="9">
        <v>1.0</v>
      </c>
      <c r="AO62" s="9"/>
      <c r="AP62" s="9"/>
      <c r="AQ62" s="9"/>
      <c r="AR62" s="9"/>
      <c r="AS62" s="9"/>
      <c r="AT62" s="9"/>
      <c r="AU62" s="9"/>
      <c r="AV62" s="9"/>
      <c r="AW62" s="9"/>
      <c r="AX62" s="9"/>
      <c r="AY62" s="9"/>
      <c r="AZ62" s="9"/>
      <c r="BA62" s="6"/>
      <c r="BB62" s="6"/>
      <c r="BC62" s="6"/>
      <c r="BD62" s="6"/>
      <c r="BE62" s="6"/>
      <c r="BF62" s="6"/>
      <c r="BG62" s="6"/>
      <c r="BH62" s="6"/>
      <c r="BI62" s="6"/>
      <c r="BJ62" s="6"/>
      <c r="BK62" s="6"/>
      <c r="BL62" s="6"/>
      <c r="BM62" s="6"/>
      <c r="BN62" s="6"/>
      <c r="BO62" s="6"/>
      <c r="BP62" s="6"/>
      <c r="BQ62" s="6"/>
      <c r="BR62" s="6"/>
      <c r="BS62" s="6"/>
      <c r="BT62" s="6"/>
      <c r="BU62" s="6"/>
      <c r="BV62" s="6"/>
    </row>
    <row r="63">
      <c r="A63" s="16"/>
      <c r="B63" s="9"/>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10" t="s">
        <v>452</v>
      </c>
      <c r="AN63" s="9">
        <v>1.0</v>
      </c>
      <c r="AO63" s="9"/>
      <c r="AP63" s="9"/>
      <c r="AQ63" s="9"/>
      <c r="AR63" s="9"/>
      <c r="AS63" s="9"/>
      <c r="AT63" s="9"/>
      <c r="AU63" s="9"/>
      <c r="AV63" s="9"/>
      <c r="AW63" s="9"/>
      <c r="AX63" s="9"/>
      <c r="AY63" s="9"/>
      <c r="AZ63" s="9"/>
      <c r="BA63" s="6"/>
      <c r="BB63" s="6"/>
      <c r="BC63" s="6"/>
      <c r="BD63" s="6"/>
      <c r="BE63" s="6"/>
      <c r="BF63" s="6"/>
      <c r="BG63" s="6"/>
      <c r="BH63" s="6"/>
      <c r="BI63" s="6"/>
      <c r="BJ63" s="6"/>
      <c r="BK63" s="6"/>
      <c r="BL63" s="6"/>
      <c r="BM63" s="6"/>
      <c r="BN63" s="6"/>
      <c r="BO63" s="6"/>
      <c r="BP63" s="6"/>
      <c r="BQ63" s="6"/>
      <c r="BR63" s="6"/>
      <c r="BS63" s="6"/>
      <c r="BT63" s="6"/>
      <c r="BU63" s="6"/>
      <c r="BV63" s="6"/>
    </row>
    <row r="64">
      <c r="A64" s="16"/>
      <c r="B64" s="9"/>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10" t="s">
        <v>346</v>
      </c>
      <c r="AN64" s="9">
        <v>1.0</v>
      </c>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row>
    <row r="65">
      <c r="A65" s="16"/>
      <c r="B65" s="9"/>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10" t="s">
        <v>243</v>
      </c>
      <c r="AN65" s="9">
        <v>1.0</v>
      </c>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row>
    <row r="66">
      <c r="A66" s="17"/>
      <c r="B66" s="9"/>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10" t="s">
        <v>453</v>
      </c>
      <c r="AN66" s="9">
        <v>1.0</v>
      </c>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row>
    <row r="67">
      <c r="A67" s="16"/>
      <c r="B67" s="9"/>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10" t="s">
        <v>454</v>
      </c>
      <c r="AN67" s="9">
        <v>1.0</v>
      </c>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row>
    <row r="68">
      <c r="A68" s="16"/>
      <c r="B68" s="9"/>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row>
    <row r="69">
      <c r="A69" s="16"/>
      <c r="B69" s="9"/>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row>
    <row r="70">
      <c r="A70" s="16"/>
      <c r="B70" s="9"/>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row>
    <row r="71">
      <c r="A71" s="16"/>
      <c r="B71" s="9"/>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row>
    <row r="72">
      <c r="A72" s="16"/>
      <c r="B72" s="9"/>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row>
    <row r="73">
      <c r="A73" s="16"/>
      <c r="B73" s="9"/>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row>
    <row r="74">
      <c r="A74" s="16"/>
      <c r="B74" s="9"/>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row>
    <row r="75">
      <c r="A75" s="16"/>
      <c r="B75" s="9"/>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row>
    <row r="76">
      <c r="A76" s="16"/>
      <c r="B76" s="9"/>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row>
    <row r="77">
      <c r="A77" s="16"/>
      <c r="B77" s="9"/>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row>
    <row r="78">
      <c r="A78" s="16"/>
      <c r="B78" s="9"/>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row>
    <row r="79">
      <c r="A79" s="12"/>
      <c r="B79" s="9"/>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row>
    <row r="80">
      <c r="A80" s="16"/>
      <c r="B80" s="9"/>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row>
    <row r="81">
      <c r="A81" s="16"/>
      <c r="B81" s="9"/>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row>
    <row r="82">
      <c r="A82" s="16"/>
      <c r="B82" s="9"/>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row>
    <row r="83">
      <c r="A83" s="16"/>
      <c r="B83" s="9"/>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row>
    <row r="84">
      <c r="A84" s="18"/>
      <c r="B84" s="9"/>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row>
    <row r="85">
      <c r="A85" s="18"/>
      <c r="B85" s="9"/>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row>
    <row r="86">
      <c r="A86" s="19"/>
      <c r="B86" s="9"/>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row>
    <row r="87">
      <c r="A87" s="16"/>
      <c r="B87" s="9"/>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row>
    <row r="88">
      <c r="A88" s="16"/>
      <c r="B88" s="9"/>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row>
    <row r="89">
      <c r="A89" s="16"/>
      <c r="B89" s="9"/>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row>
    <row r="90">
      <c r="A90" s="19"/>
      <c r="B90" s="9"/>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row>
    <row r="91">
      <c r="A91" s="16"/>
      <c r="B91" s="9"/>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row>
    <row r="92">
      <c r="A92" s="16"/>
      <c r="B92" s="9"/>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row>
    <row r="93">
      <c r="A93" s="16"/>
      <c r="B93" s="9"/>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row>
    <row r="94">
      <c r="A94" s="16"/>
      <c r="B94" s="9"/>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row>
    <row r="95">
      <c r="A95" s="16"/>
      <c r="B95" s="9"/>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row>
    <row r="96">
      <c r="A96" s="16"/>
      <c r="B96" s="9"/>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row>
    <row r="97">
      <c r="A97" s="16"/>
      <c r="B97" s="9"/>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row>
    <row r="98">
      <c r="A98" s="16"/>
      <c r="B98" s="9"/>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row>
    <row r="99">
      <c r="A99" s="16"/>
      <c r="B99" s="9"/>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row>
    <row r="100">
      <c r="A100" s="18"/>
      <c r="B100" s="9"/>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row>
    <row r="101">
      <c r="A101" s="18"/>
      <c r="B101" s="9"/>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row>
    <row r="102">
      <c r="A102" s="18"/>
      <c r="B102" s="9"/>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row>
    <row r="103">
      <c r="A103" s="16"/>
      <c r="B103" s="9"/>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row>
    <row r="104">
      <c r="A104" s="20"/>
      <c r="B104" s="9"/>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row>
    <row r="105">
      <c r="A105" s="16"/>
      <c r="B105" s="9"/>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row>
    <row r="106">
      <c r="A106" s="18"/>
      <c r="B106" s="9"/>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row>
    <row r="107">
      <c r="A107" s="16"/>
      <c r="B107" s="9"/>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row>
    <row r="108">
      <c r="A108" s="16"/>
      <c r="B108" s="9"/>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row>
    <row r="109">
      <c r="A109" s="16"/>
      <c r="B109" s="9"/>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row>
    <row r="110">
      <c r="A110" s="16"/>
      <c r="B110" s="9"/>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row>
    <row r="111">
      <c r="A111" s="16"/>
      <c r="B111" s="9"/>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row>
    <row r="112">
      <c r="A112" s="16"/>
      <c r="B112" s="9"/>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row>
    <row r="113">
      <c r="A113" s="16"/>
      <c r="B113" s="9"/>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row>
    <row r="114">
      <c r="A114" s="16"/>
      <c r="B114" s="9"/>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row>
    <row r="115">
      <c r="A115" s="16"/>
      <c r="B115" s="9"/>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row>
    <row r="116">
      <c r="A116" s="16"/>
      <c r="B116" s="9"/>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row>
    <row r="117">
      <c r="A117" s="16"/>
      <c r="B117" s="9"/>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row>
    <row r="118">
      <c r="A118" s="16"/>
      <c r="B118" s="9"/>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row>
    <row r="119">
      <c r="A119" s="16"/>
      <c r="B119" s="9"/>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row>
    <row r="120">
      <c r="A120" s="16"/>
      <c r="B120" s="9"/>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row>
    <row r="121">
      <c r="A121" s="18"/>
      <c r="B121" s="9"/>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row>
    <row r="122">
      <c r="A122" s="16"/>
      <c r="B122" s="9"/>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row>
    <row r="123">
      <c r="A123" s="18"/>
      <c r="B123" s="9"/>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row>
    <row r="124">
      <c r="A124" s="18"/>
      <c r="B124" s="9"/>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row>
    <row r="125">
      <c r="A125" s="16"/>
      <c r="B125" s="9"/>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row>
    <row r="126">
      <c r="A126" s="16"/>
      <c r="B126" s="9"/>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row>
    <row r="127">
      <c r="A127" s="16"/>
      <c r="B127" s="9"/>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row>
    <row r="128">
      <c r="A128" s="16"/>
      <c r="B128" s="9"/>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row>
    <row r="129">
      <c r="A129" s="16"/>
      <c r="B129" s="9"/>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row>
    <row r="130">
      <c r="A130" s="16"/>
      <c r="B130" s="9"/>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row>
    <row r="131">
      <c r="A131" s="16"/>
      <c r="B131" s="9"/>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row>
    <row r="132">
      <c r="A132" s="16"/>
      <c r="B132" s="9"/>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row>
    <row r="133">
      <c r="A133" s="16"/>
      <c r="B133" s="9"/>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row>
    <row r="134">
      <c r="A134" s="16"/>
      <c r="B134" s="9"/>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row>
    <row r="135">
      <c r="A135" s="16"/>
      <c r="B135" s="9"/>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row>
    <row r="136">
      <c r="A136" s="16"/>
      <c r="B136" s="9"/>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row>
    <row r="137">
      <c r="A137" s="16"/>
      <c r="B137" s="9"/>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row>
    <row r="138">
      <c r="A138" s="12"/>
      <c r="B138" s="9"/>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row>
    <row r="139">
      <c r="A139" s="16"/>
      <c r="B139" s="9"/>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row>
    <row r="140">
      <c r="A140" s="16"/>
      <c r="B140" s="9"/>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row>
    <row r="141">
      <c r="A141" s="16"/>
      <c r="B141" s="9"/>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row>
    <row r="142">
      <c r="A142" s="16"/>
      <c r="B142" s="9"/>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row>
    <row r="143">
      <c r="A143" s="16"/>
      <c r="B143" s="9"/>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row>
    <row r="144">
      <c r="A144" s="16"/>
      <c r="B144" s="9"/>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row>
    <row r="145">
      <c r="A145" s="16"/>
      <c r="B145" s="9"/>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row>
    <row r="146">
      <c r="A146" s="16"/>
      <c r="B146" s="9"/>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row>
    <row r="147">
      <c r="A147" s="16"/>
      <c r="B147" s="9"/>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row>
    <row r="148">
      <c r="A148" s="16"/>
      <c r="B148" s="9"/>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row>
    <row r="149">
      <c r="A149" s="16"/>
      <c r="B149" s="9"/>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row>
    <row r="150">
      <c r="A150" s="18"/>
      <c r="B150" s="9"/>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row>
    <row r="151">
      <c r="A151" s="16"/>
      <c r="B151" s="9"/>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row>
    <row r="152">
      <c r="A152" s="16"/>
      <c r="B152" s="9"/>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row>
    <row r="153">
      <c r="A153" s="18"/>
      <c r="B153" s="9"/>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row>
    <row r="154">
      <c r="A154" s="16"/>
      <c r="B154" s="9"/>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row>
    <row r="155">
      <c r="A155" s="16"/>
      <c r="B155" s="9"/>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row>
    <row r="156">
      <c r="A156" s="16"/>
      <c r="B156" s="9"/>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row>
    <row r="157">
      <c r="A157" s="16"/>
      <c r="B157" s="9"/>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row>
    <row r="158">
      <c r="A158" s="16"/>
      <c r="B158" s="9"/>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row>
    <row r="159">
      <c r="A159" s="16"/>
      <c r="B159" s="9"/>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row>
    <row r="160">
      <c r="A160" s="16"/>
      <c r="B160" s="9"/>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row>
    <row r="161">
      <c r="A161" s="16"/>
      <c r="B161" s="9"/>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row>
    <row r="162">
      <c r="A162" s="16"/>
      <c r="B162" s="9"/>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row>
    <row r="163">
      <c r="A163" s="9"/>
      <c r="B163" s="9"/>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row>
    <row r="164">
      <c r="A164" s="9"/>
      <c r="B164" s="9"/>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row>
    <row r="165">
      <c r="A165" s="9"/>
      <c r="B165" s="9"/>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row>
    <row r="166">
      <c r="A166" s="9"/>
      <c r="B166" s="9"/>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row>
    <row r="167">
      <c r="A167" s="9"/>
      <c r="B167" s="9"/>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row>
    <row r="168">
      <c r="A168" s="9"/>
      <c r="B168" s="9"/>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row>
    <row r="169">
      <c r="A169" s="9"/>
      <c r="B169" s="9"/>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row>
    <row r="170">
      <c r="A170" s="9"/>
      <c r="B170" s="9"/>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row>
    <row r="171">
      <c r="A171" s="9"/>
      <c r="B171" s="9"/>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row>
    <row r="172">
      <c r="A172" s="9"/>
      <c r="B172" s="9"/>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row>
    <row r="173">
      <c r="A173" s="9"/>
      <c r="B173" s="9"/>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row>
    <row r="174">
      <c r="A174" s="9"/>
      <c r="B174" s="9"/>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row>
    <row r="175">
      <c r="A175" s="9"/>
      <c r="B175" s="9"/>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row>
    <row r="176">
      <c r="A176" s="9"/>
      <c r="B176" s="9"/>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row>
    <row r="177">
      <c r="A177" s="9"/>
      <c r="B177" s="9"/>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row>
    <row r="178">
      <c r="A178" s="9"/>
      <c r="B178" s="9"/>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row>
    <row r="179">
      <c r="A179" s="9"/>
      <c r="B179" s="9"/>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row>
    <row r="180">
      <c r="A180" s="9"/>
      <c r="B180" s="9"/>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row>
    <row r="181">
      <c r="A181" s="9"/>
      <c r="B181" s="9"/>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row>
    <row r="182">
      <c r="A182" s="9"/>
      <c r="B182" s="9"/>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row>
    <row r="183">
      <c r="A183" s="9"/>
      <c r="B183" s="9"/>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row>
    <row r="184">
      <c r="A184" s="9"/>
      <c r="B184" s="9"/>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row>
    <row r="185">
      <c r="A185" s="9"/>
      <c r="B185" s="9"/>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row>
    <row r="186">
      <c r="A186" s="9"/>
      <c r="B186" s="9"/>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row>
    <row r="187">
      <c r="A187" s="9"/>
      <c r="B187" s="9"/>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row>
    <row r="188">
      <c r="A188" s="9"/>
      <c r="B188" s="9"/>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row>
    <row r="189">
      <c r="A189" s="9"/>
      <c r="B189" s="9"/>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row>
    <row r="190">
      <c r="A190" s="9"/>
      <c r="B190" s="9"/>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row>
    <row r="191">
      <c r="A191" s="9"/>
      <c r="B191" s="9"/>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row>
    <row r="192">
      <c r="A192" s="9"/>
      <c r="B192" s="9"/>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row>
    <row r="193">
      <c r="A193" s="9"/>
      <c r="B193" s="9"/>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row>
    <row r="194">
      <c r="A194" s="9"/>
      <c r="B194" s="9"/>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row>
    <row r="195">
      <c r="A195" s="9"/>
      <c r="B195" s="9"/>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row>
    <row r="196">
      <c r="A196" s="9"/>
      <c r="B196" s="9"/>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row>
    <row r="197">
      <c r="A197" s="9"/>
      <c r="B197" s="9"/>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row>
    <row r="198">
      <c r="A198" s="9"/>
      <c r="B198" s="9"/>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row>
    <row r="199">
      <c r="A199" s="9"/>
      <c r="B199" s="9"/>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row>
    <row r="200">
      <c r="A200" s="9"/>
      <c r="B200" s="9"/>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row>
    <row r="201">
      <c r="A201" s="9"/>
      <c r="B201" s="9"/>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row>
    <row r="202">
      <c r="A202" s="9"/>
      <c r="B202" s="9"/>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row>
    <row r="203">
      <c r="A203" s="9"/>
      <c r="B203" s="9"/>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row>
    <row r="204">
      <c r="A204" s="9"/>
      <c r="B204" s="9"/>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row>
    <row r="205">
      <c r="A205" s="9"/>
      <c r="B205" s="9"/>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row>
    <row r="206">
      <c r="A206" s="9"/>
      <c r="B206" s="9"/>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row>
    <row r="207">
      <c r="A207" s="9"/>
      <c r="B207" s="9"/>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row>
    <row r="208">
      <c r="A208" s="9"/>
      <c r="B208" s="9"/>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row>
    <row r="209">
      <c r="A209" s="9"/>
      <c r="B209" s="9"/>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row>
    <row r="210">
      <c r="A210" s="9"/>
      <c r="B210" s="9"/>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row>
    <row r="211">
      <c r="A211" s="9"/>
      <c r="B211" s="9"/>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row>
    <row r="212">
      <c r="A212" s="9"/>
      <c r="B212" s="9"/>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row>
    <row r="213">
      <c r="A213" s="9"/>
      <c r="B213" s="9"/>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row>
    <row r="214">
      <c r="A214" s="9"/>
      <c r="B214" s="9"/>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row>
    <row r="215">
      <c r="A215" s="9"/>
      <c r="B215" s="9"/>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row>
    <row r="216">
      <c r="A216" s="9"/>
      <c r="B216" s="9"/>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row>
    <row r="217">
      <c r="A217" s="9"/>
      <c r="B217" s="9"/>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row>
    <row r="218">
      <c r="A218" s="9"/>
      <c r="B218" s="9"/>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row>
    <row r="219">
      <c r="A219" s="9"/>
      <c r="B219" s="9"/>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row>
    <row r="220">
      <c r="A220" s="9"/>
      <c r="B220" s="9"/>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row>
    <row r="221">
      <c r="A221" s="9"/>
      <c r="B221" s="9"/>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row>
    <row r="222">
      <c r="A222" s="9"/>
      <c r="B222" s="9"/>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row>
    <row r="223">
      <c r="A223" s="9"/>
      <c r="B223" s="9"/>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row>
    <row r="224">
      <c r="A224" s="9"/>
      <c r="B224" s="9"/>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row>
    <row r="225">
      <c r="A225" s="9"/>
      <c r="B225" s="9"/>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row>
    <row r="226">
      <c r="A226" s="9"/>
      <c r="B226" s="9"/>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row>
    <row r="227">
      <c r="A227" s="9"/>
      <c r="B227" s="9"/>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row>
    <row r="228">
      <c r="A228" s="9"/>
      <c r="B228" s="9"/>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row>
    <row r="229">
      <c r="A229" s="9"/>
      <c r="B229" s="9"/>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row>
    <row r="230">
      <c r="A230" s="9"/>
      <c r="B230" s="9"/>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row>
    <row r="231">
      <c r="A231" s="9"/>
      <c r="B231" s="9"/>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row>
    <row r="232">
      <c r="A232" s="9"/>
      <c r="B232" s="9"/>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row>
    <row r="233">
      <c r="A233" s="9"/>
      <c r="B233" s="9"/>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row>
    <row r="234">
      <c r="A234" s="9"/>
      <c r="B234" s="9"/>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row>
    <row r="235">
      <c r="A235" s="9"/>
      <c r="B235" s="9"/>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row>
    <row r="236">
      <c r="A236" s="9"/>
      <c r="B236" s="9"/>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row>
    <row r="237">
      <c r="A237" s="9"/>
      <c r="B237" s="9"/>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row>
    <row r="238">
      <c r="A238" s="9"/>
      <c r="B238" s="9"/>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row>
    <row r="239">
      <c r="A239" s="9"/>
      <c r="B239" s="9"/>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row>
    <row r="240">
      <c r="A240" s="9"/>
      <c r="B240" s="9"/>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row>
    <row r="241">
      <c r="A241" s="9"/>
      <c r="B241" s="9"/>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row>
    <row r="242">
      <c r="A242" s="9"/>
      <c r="B242" s="9"/>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row>
    <row r="243">
      <c r="A243" s="9"/>
      <c r="B243" s="9"/>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row>
    <row r="244">
      <c r="A244" s="9"/>
      <c r="B244" s="9"/>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row>
    <row r="245">
      <c r="A245" s="9"/>
      <c r="B245" s="9"/>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row>
    <row r="246">
      <c r="A246" s="9"/>
      <c r="B246" s="9"/>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row>
    <row r="247">
      <c r="A247" s="9"/>
      <c r="B247" s="9"/>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row>
    <row r="248">
      <c r="A248" s="9"/>
      <c r="B248" s="9"/>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row>
    <row r="249">
      <c r="A249" s="9"/>
      <c r="B249" s="9"/>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row>
    <row r="250">
      <c r="A250" s="9"/>
      <c r="B250" s="9"/>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row>
    <row r="251">
      <c r="A251" s="9"/>
      <c r="B251" s="9"/>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row>
    <row r="252">
      <c r="A252" s="9"/>
      <c r="B252" s="9"/>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row>
    <row r="253">
      <c r="A253" s="9"/>
      <c r="B253" s="9"/>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row>
    <row r="254">
      <c r="A254" s="9"/>
      <c r="B254" s="9"/>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row>
    <row r="255">
      <c r="A255" s="9"/>
      <c r="B255" s="9"/>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row>
    <row r="256">
      <c r="A256" s="9"/>
      <c r="B256" s="9"/>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row>
    <row r="257">
      <c r="A257" s="9"/>
      <c r="B257" s="9"/>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row>
    <row r="258">
      <c r="A258" s="9"/>
      <c r="B258" s="9"/>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row>
    <row r="259">
      <c r="A259" s="9"/>
      <c r="B259" s="9"/>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row>
    <row r="260">
      <c r="A260" s="9"/>
      <c r="B260" s="9"/>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row>
    <row r="261">
      <c r="A261" s="9"/>
      <c r="B261" s="9"/>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row>
    <row r="262">
      <c r="A262" s="9"/>
      <c r="B262" s="9"/>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row>
    <row r="263">
      <c r="A263" s="9"/>
      <c r="B263" s="9"/>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row>
    <row r="264">
      <c r="A264" s="9"/>
      <c r="B264" s="9"/>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row>
    <row r="265">
      <c r="A265" s="9"/>
      <c r="B265" s="9"/>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row>
    <row r="266">
      <c r="A266" s="9"/>
      <c r="B266" s="9"/>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row>
    <row r="267">
      <c r="A267" s="9"/>
      <c r="B267" s="9"/>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row>
    <row r="268">
      <c r="A268" s="9"/>
      <c r="B268" s="9"/>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row>
    <row r="269">
      <c r="A269" s="9"/>
      <c r="B269" s="9"/>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row>
    <row r="270">
      <c r="A270" s="9"/>
      <c r="B270" s="9"/>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row>
    <row r="271">
      <c r="A271" s="9"/>
      <c r="B271" s="9"/>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row>
    <row r="272">
      <c r="A272" s="9"/>
      <c r="B272" s="9"/>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row>
    <row r="273">
      <c r="A273" s="9"/>
      <c r="B273" s="9"/>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row>
    <row r="274">
      <c r="A274" s="9"/>
      <c r="B274" s="9"/>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row>
    <row r="275">
      <c r="A275" s="9"/>
      <c r="B275" s="9"/>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row>
    <row r="276">
      <c r="A276" s="9"/>
      <c r="B276" s="9"/>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row>
    <row r="277">
      <c r="A277" s="9"/>
      <c r="B277" s="9"/>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row>
    <row r="278">
      <c r="A278" s="9"/>
      <c r="B278" s="9"/>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row>
    <row r="279">
      <c r="A279" s="9"/>
      <c r="B279" s="9"/>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row>
    <row r="280">
      <c r="A280" s="9"/>
      <c r="B280" s="9"/>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row>
    <row r="281">
      <c r="A281" s="9"/>
      <c r="B281" s="9"/>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row>
    <row r="282">
      <c r="A282" s="9"/>
      <c r="B282" s="9"/>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row>
    <row r="283">
      <c r="A283" s="9"/>
      <c r="B283" s="9"/>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row>
    <row r="284">
      <c r="A284" s="9"/>
      <c r="B284" s="9"/>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row>
    <row r="285">
      <c r="A285" s="9"/>
      <c r="B285" s="9"/>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row>
    <row r="286">
      <c r="A286" s="9"/>
      <c r="B286" s="9"/>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row>
    <row r="287">
      <c r="A287" s="9"/>
      <c r="B287" s="9"/>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row>
    <row r="288">
      <c r="A288" s="9"/>
      <c r="B288" s="9"/>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row>
    <row r="289">
      <c r="A289" s="9"/>
      <c r="B289" s="9"/>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row>
    <row r="290">
      <c r="A290" s="9"/>
      <c r="B290" s="9"/>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row>
    <row r="291">
      <c r="A291" s="9"/>
      <c r="B291" s="9"/>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row>
    <row r="292">
      <c r="A292" s="9"/>
      <c r="B292" s="9"/>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row>
    <row r="293">
      <c r="A293" s="9"/>
      <c r="B293" s="9"/>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row>
    <row r="294">
      <c r="A294" s="9"/>
      <c r="B294" s="9"/>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row>
    <row r="295">
      <c r="A295" s="9"/>
      <c r="B295" s="9"/>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row>
    <row r="296">
      <c r="A296" s="9"/>
      <c r="B296" s="9"/>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row>
    <row r="297">
      <c r="A297" s="9"/>
      <c r="B297" s="9"/>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row>
    <row r="298">
      <c r="A298" s="9"/>
      <c r="B298" s="9"/>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row>
    <row r="299">
      <c r="A299" s="9"/>
      <c r="B299" s="9"/>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row>
    <row r="300">
      <c r="A300" s="9"/>
      <c r="B300" s="9"/>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row>
    <row r="301">
      <c r="A301" s="9"/>
      <c r="B301" s="9"/>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row>
    <row r="302">
      <c r="A302" s="9"/>
      <c r="B302" s="9"/>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row>
    <row r="303">
      <c r="A303" s="9"/>
      <c r="B303" s="9"/>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row>
    <row r="304">
      <c r="A304" s="9"/>
      <c r="B304" s="9"/>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row>
    <row r="305">
      <c r="A305" s="9"/>
      <c r="B305" s="9"/>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row>
    <row r="306">
      <c r="A306" s="9"/>
      <c r="B306" s="9"/>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row>
    <row r="307">
      <c r="A307" s="9"/>
      <c r="B307" s="9"/>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row>
    <row r="308">
      <c r="A308" s="9"/>
      <c r="B308" s="9"/>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row>
    <row r="309">
      <c r="A309" s="9"/>
      <c r="B309" s="9"/>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row>
    <row r="310">
      <c r="A310" s="9"/>
      <c r="B310" s="9"/>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row>
    <row r="311">
      <c r="A311" s="9"/>
      <c r="B311" s="9"/>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455</v>
      </c>
      <c r="B1" s="21" t="s">
        <v>456</v>
      </c>
    </row>
    <row r="2">
      <c r="A2" s="22" t="s">
        <v>50</v>
      </c>
      <c r="B2" s="22" t="s">
        <v>25</v>
      </c>
      <c r="C2" s="23">
        <v>0.0</v>
      </c>
    </row>
    <row r="3">
      <c r="A3" s="22" t="s">
        <v>56</v>
      </c>
      <c r="B3" s="22" t="s">
        <v>6</v>
      </c>
      <c r="C3" s="23">
        <v>0.0</v>
      </c>
    </row>
    <row r="4">
      <c r="A4" s="22" t="s">
        <v>80</v>
      </c>
      <c r="B4" s="22" t="s">
        <v>6</v>
      </c>
      <c r="C4" s="23">
        <v>0.0</v>
      </c>
    </row>
    <row r="5">
      <c r="A5" s="22" t="s">
        <v>82</v>
      </c>
      <c r="B5" s="22" t="s">
        <v>8</v>
      </c>
      <c r="C5" s="23">
        <v>0.0</v>
      </c>
    </row>
    <row r="6">
      <c r="A6" s="22" t="s">
        <v>112</v>
      </c>
      <c r="B6" s="22" t="s">
        <v>15</v>
      </c>
      <c r="C6" s="23">
        <v>0.0</v>
      </c>
    </row>
    <row r="7">
      <c r="A7" s="22" t="s">
        <v>134</v>
      </c>
      <c r="B7" s="22" t="s">
        <v>14</v>
      </c>
      <c r="C7" s="23">
        <v>0.0</v>
      </c>
    </row>
    <row r="8">
      <c r="A8" s="22" t="s">
        <v>196</v>
      </c>
      <c r="B8" s="22" t="s">
        <v>6</v>
      </c>
      <c r="C8" s="23">
        <v>0.0</v>
      </c>
    </row>
    <row r="9">
      <c r="A9" s="22" t="s">
        <v>210</v>
      </c>
      <c r="B9" s="22" t="s">
        <v>6</v>
      </c>
      <c r="C9" s="23">
        <v>0.0</v>
      </c>
    </row>
    <row r="10">
      <c r="A10" s="22" t="s">
        <v>221</v>
      </c>
      <c r="B10" s="22" t="s">
        <v>4</v>
      </c>
      <c r="C10" s="23">
        <v>0.0</v>
      </c>
    </row>
    <row r="11">
      <c r="A11" s="22" t="s">
        <v>243</v>
      </c>
      <c r="B11" s="22" t="s">
        <v>20</v>
      </c>
      <c r="C11" s="23">
        <v>0.0</v>
      </c>
    </row>
    <row r="12">
      <c r="A12" s="22" t="s">
        <v>294</v>
      </c>
      <c r="B12" s="22" t="s">
        <v>15</v>
      </c>
      <c r="C12" s="23">
        <v>0.0</v>
      </c>
    </row>
    <row r="13">
      <c r="A13" s="22" t="s">
        <v>337</v>
      </c>
      <c r="B13" s="22" t="s">
        <v>4</v>
      </c>
      <c r="C13" s="23">
        <v>0.0</v>
      </c>
    </row>
    <row r="14">
      <c r="A14" s="22" t="s">
        <v>346</v>
      </c>
      <c r="B14" s="22" t="s">
        <v>20</v>
      </c>
      <c r="C14" s="23">
        <v>0.0</v>
      </c>
    </row>
    <row r="15">
      <c r="A15" s="22" t="s">
        <v>349</v>
      </c>
      <c r="B15" s="22" t="s">
        <v>4</v>
      </c>
      <c r="C15" s="23">
        <v>0.0</v>
      </c>
    </row>
    <row r="16">
      <c r="A16" s="22" t="s">
        <v>377</v>
      </c>
      <c r="B16" s="22" t="s">
        <v>4</v>
      </c>
      <c r="C16" s="23">
        <v>0.0</v>
      </c>
    </row>
    <row r="17">
      <c r="A17" s="22" t="s">
        <v>386</v>
      </c>
      <c r="B17" s="22" t="s">
        <v>4</v>
      </c>
      <c r="C17" s="23">
        <v>0.0</v>
      </c>
    </row>
    <row r="18">
      <c r="A18" s="22" t="s">
        <v>407</v>
      </c>
      <c r="B18" s="22" t="s">
        <v>4</v>
      </c>
      <c r="C18" s="23">
        <v>0.0</v>
      </c>
    </row>
    <row r="19">
      <c r="A19" s="22" t="s">
        <v>430</v>
      </c>
      <c r="B19" s="22" t="s">
        <v>4</v>
      </c>
      <c r="C19" s="23">
        <v>0.0</v>
      </c>
    </row>
    <row r="20">
      <c r="A20" s="22" t="s">
        <v>27</v>
      </c>
      <c r="B20" s="22" t="s">
        <v>2</v>
      </c>
      <c r="C20" s="23">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9.13"/>
    <col customWidth="1" min="3" max="3" width="18.75"/>
    <col customWidth="1" min="4" max="4" width="6.13"/>
    <col customWidth="1" min="5" max="5" width="7.38"/>
    <col customWidth="1" min="6" max="6" width="12.25"/>
    <col customWidth="1" min="7" max="7" width="5.75"/>
    <col customWidth="1" min="8" max="8" width="13.25"/>
    <col customWidth="1" min="9" max="9" width="7.13"/>
    <col customWidth="1" min="10" max="10" width="10.0"/>
  </cols>
  <sheetData>
    <row r="1" ht="15.75" customHeight="1">
      <c r="A1" s="24" t="s">
        <v>457</v>
      </c>
      <c r="B1" s="24" t="s">
        <v>455</v>
      </c>
      <c r="C1" s="24" t="s">
        <v>458</v>
      </c>
      <c r="D1" s="24" t="s">
        <v>459</v>
      </c>
      <c r="E1" s="24" t="s">
        <v>460</v>
      </c>
      <c r="F1" s="25" t="s">
        <v>461</v>
      </c>
      <c r="G1" s="25" t="s">
        <v>462</v>
      </c>
      <c r="H1" s="25" t="s">
        <v>463</v>
      </c>
      <c r="I1" s="24" t="s">
        <v>464</v>
      </c>
      <c r="J1" s="24" t="s">
        <v>465</v>
      </c>
    </row>
    <row r="2">
      <c r="A2" s="26" t="s">
        <v>466</v>
      </c>
      <c r="B2" s="22" t="s">
        <v>467</v>
      </c>
      <c r="C2" s="27">
        <v>46123.0</v>
      </c>
      <c r="D2" s="22" t="s">
        <v>468</v>
      </c>
      <c r="E2" s="28">
        <v>47058.0</v>
      </c>
      <c r="F2" s="29">
        <f t="shared" ref="F2:F20" si="1">IF(E2="","",E2-TODAY())</f>
        <v>925</v>
      </c>
      <c r="G2" s="29" t="str">
        <f t="shared" ref="G2:G20" si="2">IF(F2="","",IF(F2&lt;0,"Vencido",IF(F2&lt;=240,"Crítico",IF(F2&lt;=450,"Atenção","OK"))))</f>
        <v>OK</v>
      </c>
      <c r="H2" s="29" t="str">
        <f t="shared" ref="H2:H20" si="3">IF(OR(G2="Crítico",G2="Vencido",G2="Atenção"),"SIM","NÃO")</f>
        <v>NÃO</v>
      </c>
      <c r="I2" s="22" t="s">
        <v>469</v>
      </c>
    </row>
    <row r="3">
      <c r="A3" s="22">
        <v>1000.0</v>
      </c>
      <c r="B3" s="22" t="s">
        <v>470</v>
      </c>
      <c r="C3" s="27"/>
      <c r="D3" s="22"/>
      <c r="E3" s="28"/>
      <c r="F3" s="29" t="str">
        <f t="shared" si="1"/>
        <v/>
      </c>
      <c r="G3" s="29" t="str">
        <f t="shared" si="2"/>
        <v/>
      </c>
      <c r="H3" s="29" t="str">
        <f t="shared" si="3"/>
        <v>NÃO</v>
      </c>
      <c r="I3" s="22"/>
    </row>
    <row r="4">
      <c r="A4" s="22">
        <v>2000.0</v>
      </c>
      <c r="B4" s="22" t="s">
        <v>471</v>
      </c>
      <c r="F4" s="29" t="str">
        <f t="shared" si="1"/>
        <v/>
      </c>
      <c r="G4" s="29" t="str">
        <f t="shared" si="2"/>
        <v/>
      </c>
      <c r="H4" s="29" t="str">
        <f t="shared" si="3"/>
        <v>NÃO</v>
      </c>
    </row>
    <row r="5">
      <c r="A5" s="22">
        <v>3000.0</v>
      </c>
      <c r="B5" s="22" t="s">
        <v>472</v>
      </c>
      <c r="F5" s="29" t="str">
        <f t="shared" si="1"/>
        <v/>
      </c>
      <c r="G5" s="29" t="str">
        <f t="shared" si="2"/>
        <v/>
      </c>
      <c r="H5" s="29" t="str">
        <f t="shared" si="3"/>
        <v>NÃO</v>
      </c>
    </row>
    <row r="6">
      <c r="A6" s="22">
        <v>4000.0</v>
      </c>
      <c r="B6" s="22" t="s">
        <v>473</v>
      </c>
      <c r="F6" s="29" t="str">
        <f t="shared" si="1"/>
        <v/>
      </c>
      <c r="G6" s="29" t="str">
        <f t="shared" si="2"/>
        <v/>
      </c>
      <c r="H6" s="29" t="str">
        <f t="shared" si="3"/>
        <v>NÃO</v>
      </c>
    </row>
    <row r="7" ht="15.75" customHeight="1">
      <c r="A7" s="22">
        <v>5000.0</v>
      </c>
      <c r="B7" s="22" t="s">
        <v>474</v>
      </c>
      <c r="F7" s="29" t="str">
        <f t="shared" si="1"/>
        <v/>
      </c>
      <c r="G7" s="29" t="str">
        <f t="shared" si="2"/>
        <v/>
      </c>
      <c r="H7" s="29" t="str">
        <f t="shared" si="3"/>
        <v>NÃO</v>
      </c>
    </row>
    <row r="8">
      <c r="A8" s="22">
        <v>6000.0</v>
      </c>
      <c r="B8" s="22" t="s">
        <v>475</v>
      </c>
      <c r="F8" s="29" t="str">
        <f t="shared" si="1"/>
        <v/>
      </c>
      <c r="G8" s="29" t="str">
        <f t="shared" si="2"/>
        <v/>
      </c>
      <c r="H8" s="29" t="str">
        <f t="shared" si="3"/>
        <v>NÃO</v>
      </c>
    </row>
    <row r="9">
      <c r="A9" s="22">
        <v>7000.0</v>
      </c>
      <c r="B9" s="22" t="s">
        <v>476</v>
      </c>
      <c r="F9" s="29" t="str">
        <f t="shared" si="1"/>
        <v/>
      </c>
      <c r="G9" s="29" t="str">
        <f t="shared" si="2"/>
        <v/>
      </c>
      <c r="H9" s="29" t="str">
        <f t="shared" si="3"/>
        <v>NÃO</v>
      </c>
    </row>
    <row r="10">
      <c r="A10" s="22">
        <v>8000.0</v>
      </c>
      <c r="B10" s="22" t="s">
        <v>477</v>
      </c>
      <c r="F10" s="29" t="str">
        <f t="shared" si="1"/>
        <v/>
      </c>
      <c r="G10" s="29" t="str">
        <f t="shared" si="2"/>
        <v/>
      </c>
      <c r="H10" s="29" t="str">
        <f t="shared" si="3"/>
        <v>NÃO</v>
      </c>
    </row>
    <row r="11">
      <c r="A11" s="22">
        <v>9000.0</v>
      </c>
      <c r="B11" s="22" t="s">
        <v>478</v>
      </c>
      <c r="F11" s="29" t="str">
        <f t="shared" si="1"/>
        <v/>
      </c>
      <c r="G11" s="29" t="str">
        <f t="shared" si="2"/>
        <v/>
      </c>
      <c r="H11" s="29" t="str">
        <f t="shared" si="3"/>
        <v>NÃO</v>
      </c>
    </row>
    <row r="12">
      <c r="A12" s="22">
        <v>10000.0</v>
      </c>
      <c r="B12" s="22" t="s">
        <v>479</v>
      </c>
      <c r="F12" s="29" t="str">
        <f t="shared" si="1"/>
        <v/>
      </c>
      <c r="G12" s="29" t="str">
        <f t="shared" si="2"/>
        <v/>
      </c>
      <c r="H12" s="29" t="str">
        <f t="shared" si="3"/>
        <v>NÃO</v>
      </c>
    </row>
    <row r="13">
      <c r="A13" s="22">
        <v>11000.0</v>
      </c>
      <c r="B13" s="22" t="s">
        <v>480</v>
      </c>
      <c r="F13" s="29" t="str">
        <f t="shared" si="1"/>
        <v/>
      </c>
      <c r="G13" s="29" t="str">
        <f t="shared" si="2"/>
        <v/>
      </c>
      <c r="H13" s="29" t="str">
        <f t="shared" si="3"/>
        <v>NÃO</v>
      </c>
    </row>
    <row r="14">
      <c r="A14" s="22">
        <v>12000.0</v>
      </c>
      <c r="B14" s="22" t="s">
        <v>481</v>
      </c>
      <c r="F14" s="29" t="str">
        <f t="shared" si="1"/>
        <v/>
      </c>
      <c r="G14" s="29" t="str">
        <f t="shared" si="2"/>
        <v/>
      </c>
      <c r="H14" s="29" t="str">
        <f t="shared" si="3"/>
        <v>NÃO</v>
      </c>
    </row>
    <row r="15">
      <c r="A15" s="22">
        <v>13000.0</v>
      </c>
      <c r="B15" s="22" t="s">
        <v>482</v>
      </c>
      <c r="F15" s="29" t="str">
        <f t="shared" si="1"/>
        <v/>
      </c>
      <c r="G15" s="29" t="str">
        <f t="shared" si="2"/>
        <v/>
      </c>
      <c r="H15" s="29" t="str">
        <f t="shared" si="3"/>
        <v>NÃO</v>
      </c>
    </row>
    <row r="16">
      <c r="A16" s="22">
        <v>14000.0</v>
      </c>
      <c r="B16" s="22" t="s">
        <v>483</v>
      </c>
      <c r="F16" s="29" t="str">
        <f t="shared" si="1"/>
        <v/>
      </c>
      <c r="G16" s="29" t="str">
        <f t="shared" si="2"/>
        <v/>
      </c>
      <c r="H16" s="29" t="str">
        <f t="shared" si="3"/>
        <v>NÃO</v>
      </c>
    </row>
    <row r="17">
      <c r="A17" s="22">
        <v>15000.0</v>
      </c>
      <c r="B17" s="22" t="s">
        <v>484</v>
      </c>
      <c r="F17" s="29" t="str">
        <f t="shared" si="1"/>
        <v/>
      </c>
      <c r="G17" s="29" t="str">
        <f t="shared" si="2"/>
        <v/>
      </c>
      <c r="H17" s="29" t="str">
        <f t="shared" si="3"/>
        <v>NÃO</v>
      </c>
    </row>
    <row r="18">
      <c r="A18" s="22">
        <v>16000.0</v>
      </c>
      <c r="B18" s="22" t="s">
        <v>485</v>
      </c>
      <c r="F18" s="29" t="str">
        <f t="shared" si="1"/>
        <v/>
      </c>
      <c r="G18" s="29" t="str">
        <f t="shared" si="2"/>
        <v/>
      </c>
      <c r="H18" s="29" t="str">
        <f t="shared" si="3"/>
        <v>NÃO</v>
      </c>
    </row>
    <row r="19">
      <c r="A19" s="22">
        <v>17000.0</v>
      </c>
      <c r="B19" s="22" t="s">
        <v>486</v>
      </c>
      <c r="F19" s="29" t="str">
        <f t="shared" si="1"/>
        <v/>
      </c>
      <c r="G19" s="29" t="str">
        <f t="shared" si="2"/>
        <v/>
      </c>
      <c r="H19" s="29" t="str">
        <f t="shared" si="3"/>
        <v>NÃO</v>
      </c>
    </row>
    <row r="20">
      <c r="A20" s="22">
        <v>18000.0</v>
      </c>
      <c r="B20" s="22" t="s">
        <v>487</v>
      </c>
      <c r="F20" s="29" t="str">
        <f t="shared" si="1"/>
        <v/>
      </c>
      <c r="G20" s="29" t="str">
        <f t="shared" si="2"/>
        <v/>
      </c>
      <c r="H20" s="29" t="str">
        <f t="shared" si="3"/>
        <v>NÃO</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6.88"/>
    <col customWidth="1" min="3" max="3" width="4.25"/>
    <col customWidth="1" min="4" max="4" width="7.38"/>
    <col customWidth="1" min="5" max="5" width="13.75"/>
    <col customWidth="1" min="6" max="6" width="12.0"/>
    <col customWidth="1" min="7" max="7" width="11.63"/>
    <col customWidth="1" min="8" max="8" width="14.13"/>
    <col customWidth="1" min="9" max="9" width="16.25"/>
    <col customWidth="1" min="10" max="10" width="10.88"/>
  </cols>
  <sheetData>
    <row r="1">
      <c r="A1" s="30" t="s">
        <v>488</v>
      </c>
      <c r="B1" s="30" t="s">
        <v>455</v>
      </c>
      <c r="C1" s="30" t="s">
        <v>459</v>
      </c>
      <c r="D1" s="30" t="s">
        <v>460</v>
      </c>
      <c r="E1" s="31" t="s">
        <v>489</v>
      </c>
      <c r="F1" s="31" t="s">
        <v>490</v>
      </c>
      <c r="G1" s="30" t="s">
        <v>491</v>
      </c>
      <c r="H1" s="32" t="s">
        <v>492</v>
      </c>
      <c r="I1" s="33" t="s">
        <v>493</v>
      </c>
      <c r="J1" s="33" t="s">
        <v>494</v>
      </c>
    </row>
    <row r="2">
      <c r="D2" s="34">
        <v>46844.0</v>
      </c>
      <c r="E2" s="29">
        <f>D2-TODAY()</f>
        <v>711</v>
      </c>
      <c r="F2" s="29" t="str">
        <f>IF(E2&lt;0,"Vencido",
IF(E2&lt;=240,"Crítico",
IF(E2&lt;=450,"Atenção","OK")))</f>
        <v>OK</v>
      </c>
      <c r="G2" s="22"/>
      <c r="H2" s="29" t="str">
        <f>IF(OR(F2="Crítico",F2="Vencido",F2="Atenção",G2="NÃO"),"SIM","NÃO")</f>
        <v>NÃO</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5"/>
  </cols>
  <sheetData>
    <row r="1" ht="15.75" customHeight="1">
      <c r="A1" s="35"/>
      <c r="B1" s="22" t="s">
        <v>495</v>
      </c>
      <c r="C1" s="22"/>
      <c r="D1" s="22" t="s">
        <v>496</v>
      </c>
      <c r="F1" s="36"/>
      <c r="G1" s="37"/>
      <c r="H1" s="38" t="s">
        <v>497</v>
      </c>
      <c r="I1" s="38" t="s">
        <v>498</v>
      </c>
      <c r="J1" s="38" t="s">
        <v>499</v>
      </c>
      <c r="K1" s="38" t="s">
        <v>500</v>
      </c>
      <c r="L1" s="38" t="s">
        <v>501</v>
      </c>
      <c r="M1" s="38" t="s">
        <v>502</v>
      </c>
      <c r="N1" s="38" t="s">
        <v>503</v>
      </c>
      <c r="O1" s="39" t="s">
        <v>504</v>
      </c>
    </row>
    <row r="2" ht="15.75" customHeight="1">
      <c r="A2" s="40" t="s">
        <v>505</v>
      </c>
      <c r="B2" s="22" t="s">
        <v>506</v>
      </c>
      <c r="C2" s="22" t="s">
        <v>507</v>
      </c>
      <c r="D2" s="22" t="s">
        <v>508</v>
      </c>
      <c r="F2" s="41" t="s">
        <v>509</v>
      </c>
      <c r="G2" s="42"/>
      <c r="H2" s="22" t="s">
        <v>510</v>
      </c>
      <c r="I2" s="22" t="s">
        <v>511</v>
      </c>
      <c r="J2" s="22" t="s">
        <v>512</v>
      </c>
      <c r="K2" s="22" t="s">
        <v>513</v>
      </c>
      <c r="L2" s="22" t="s">
        <v>514</v>
      </c>
      <c r="M2" s="22" t="s">
        <v>515</v>
      </c>
      <c r="N2" s="22" t="s">
        <v>516</v>
      </c>
      <c r="O2" s="36"/>
    </row>
    <row r="3" ht="15.75" customHeight="1">
      <c r="A3" s="40" t="s">
        <v>517</v>
      </c>
      <c r="B3" s="22" t="s">
        <v>518</v>
      </c>
      <c r="C3" s="22" t="s">
        <v>507</v>
      </c>
      <c r="D3" s="22" t="s">
        <v>519</v>
      </c>
      <c r="F3" s="41" t="s">
        <v>520</v>
      </c>
      <c r="G3" s="42"/>
      <c r="H3" s="22" t="s">
        <v>521</v>
      </c>
      <c r="I3" s="22" t="s">
        <v>522</v>
      </c>
      <c r="J3" s="22" t="s">
        <v>523</v>
      </c>
      <c r="K3" s="22" t="s">
        <v>513</v>
      </c>
      <c r="L3" s="22" t="s">
        <v>524</v>
      </c>
      <c r="M3" s="22" t="s">
        <v>525</v>
      </c>
      <c r="N3" s="22" t="s">
        <v>526</v>
      </c>
      <c r="O3" s="41" t="s">
        <v>527</v>
      </c>
    </row>
    <row r="4" ht="15.75" customHeight="1">
      <c r="A4" s="22" t="s">
        <v>528</v>
      </c>
      <c r="B4" s="22" t="s">
        <v>518</v>
      </c>
      <c r="C4" s="22" t="s">
        <v>507</v>
      </c>
      <c r="D4" s="22" t="s">
        <v>529</v>
      </c>
      <c r="F4" s="41" t="s">
        <v>530</v>
      </c>
      <c r="G4" s="42"/>
      <c r="H4" s="22" t="s">
        <v>531</v>
      </c>
      <c r="I4" s="22" t="s">
        <v>532</v>
      </c>
      <c r="K4" s="22" t="s">
        <v>513</v>
      </c>
      <c r="L4" s="22" t="s">
        <v>524</v>
      </c>
      <c r="M4" s="22" t="s">
        <v>533</v>
      </c>
      <c r="N4" s="22" t="s">
        <v>534</v>
      </c>
      <c r="O4" s="41" t="s">
        <v>535</v>
      </c>
    </row>
    <row r="5" ht="15.75" customHeight="1">
      <c r="A5" s="22" t="s">
        <v>536</v>
      </c>
      <c r="B5" s="22" t="s">
        <v>537</v>
      </c>
      <c r="C5" s="22" t="s">
        <v>538</v>
      </c>
      <c r="D5" s="22" t="s">
        <v>539</v>
      </c>
      <c r="F5" s="41" t="s">
        <v>540</v>
      </c>
      <c r="G5" s="42"/>
      <c r="H5" s="22" t="s">
        <v>541</v>
      </c>
      <c r="I5" s="22" t="s">
        <v>532</v>
      </c>
      <c r="K5" s="22" t="s">
        <v>513</v>
      </c>
      <c r="L5" s="22" t="s">
        <v>542</v>
      </c>
      <c r="M5" s="22" t="s">
        <v>533</v>
      </c>
      <c r="O5" s="41" t="s">
        <v>543</v>
      </c>
    </row>
    <row r="6" ht="15.75" customHeight="1">
      <c r="A6" s="40" t="s">
        <v>544</v>
      </c>
      <c r="B6" s="22" t="s">
        <v>545</v>
      </c>
      <c r="C6" s="22" t="s">
        <v>507</v>
      </c>
      <c r="D6" s="22" t="s">
        <v>546</v>
      </c>
      <c r="F6" s="41" t="s">
        <v>547</v>
      </c>
      <c r="G6" s="42"/>
      <c r="O6" s="36"/>
    </row>
    <row r="7" ht="15.75" customHeight="1">
      <c r="A7" s="41" t="s">
        <v>548</v>
      </c>
      <c r="D7" s="22" t="s">
        <v>546</v>
      </c>
      <c r="F7" s="41" t="s">
        <v>549</v>
      </c>
      <c r="G7" s="43"/>
      <c r="H7" s="44" t="s">
        <v>497</v>
      </c>
      <c r="I7" s="44" t="s">
        <v>550</v>
      </c>
      <c r="J7" s="44" t="s">
        <v>551</v>
      </c>
      <c r="K7" s="44" t="s">
        <v>552</v>
      </c>
      <c r="L7" s="44" t="s">
        <v>553</v>
      </c>
      <c r="M7" s="44" t="s">
        <v>554</v>
      </c>
      <c r="N7" s="44" t="s">
        <v>555</v>
      </c>
      <c r="O7" s="45" t="s">
        <v>556</v>
      </c>
      <c r="P7" s="44" t="s">
        <v>557</v>
      </c>
      <c r="Q7" s="44" t="s">
        <v>499</v>
      </c>
      <c r="R7" s="44" t="s">
        <v>504</v>
      </c>
      <c r="S7" s="44" t="s">
        <v>498</v>
      </c>
      <c r="T7" s="44" t="s">
        <v>501</v>
      </c>
      <c r="U7" s="44" t="s">
        <v>558</v>
      </c>
      <c r="V7" s="44" t="s">
        <v>502</v>
      </c>
      <c r="W7" s="44" t="s">
        <v>503</v>
      </c>
      <c r="X7" s="44" t="s">
        <v>500</v>
      </c>
    </row>
    <row r="8" ht="15.75" customHeight="1">
      <c r="A8" s="41" t="s">
        <v>559</v>
      </c>
      <c r="F8" s="41" t="s">
        <v>560</v>
      </c>
      <c r="G8" s="43"/>
      <c r="H8" s="41" t="s">
        <v>561</v>
      </c>
      <c r="I8" s="41" t="s">
        <v>562</v>
      </c>
      <c r="J8" s="41" t="s">
        <v>563</v>
      </c>
      <c r="K8" s="41" t="s">
        <v>564</v>
      </c>
      <c r="L8" s="41" t="s">
        <v>565</v>
      </c>
      <c r="M8" s="41" t="s">
        <v>566</v>
      </c>
      <c r="N8" s="41" t="s">
        <v>567</v>
      </c>
      <c r="O8" s="41" t="s">
        <v>568</v>
      </c>
      <c r="P8" s="41" t="s">
        <v>569</v>
      </c>
      <c r="Q8" s="36"/>
      <c r="R8" s="41" t="s">
        <v>570</v>
      </c>
      <c r="S8" s="41" t="s">
        <v>571</v>
      </c>
      <c r="T8" s="41" t="s">
        <v>572</v>
      </c>
      <c r="U8" s="41" t="s">
        <v>573</v>
      </c>
      <c r="V8" s="41" t="s">
        <v>574</v>
      </c>
      <c r="W8" s="36"/>
      <c r="X8" s="41" t="s">
        <v>513</v>
      </c>
    </row>
    <row r="9" ht="15.75" customHeight="1">
      <c r="A9" s="22" t="s">
        <v>575</v>
      </c>
      <c r="F9" s="36"/>
      <c r="G9" s="43"/>
      <c r="O9" s="36"/>
    </row>
    <row r="10" ht="15.75" customHeight="1">
      <c r="A10" s="40" t="s">
        <v>576</v>
      </c>
      <c r="F10" s="36"/>
      <c r="G10" s="46"/>
      <c r="O10" s="36"/>
    </row>
    <row r="11" ht="15.75" customHeight="1">
      <c r="F11" s="36"/>
      <c r="G11" s="46"/>
      <c r="O11" s="36"/>
    </row>
    <row r="12" ht="15.75" customHeight="1">
      <c r="A12" s="22" t="s">
        <v>577</v>
      </c>
      <c r="F12" s="36"/>
      <c r="G12" s="46"/>
      <c r="O12" s="36"/>
    </row>
    <row r="13" ht="15.75" customHeight="1">
      <c r="F13" s="36"/>
      <c r="G13" s="46"/>
      <c r="O13" s="36"/>
    </row>
    <row r="14" ht="15.75" customHeight="1">
      <c r="A14" s="47" t="s">
        <v>578</v>
      </c>
      <c r="B14" s="22" t="s">
        <v>579</v>
      </c>
      <c r="F14" s="36"/>
      <c r="G14" s="46"/>
      <c r="O14" s="36"/>
    </row>
    <row r="15" ht="15.75" customHeight="1">
      <c r="A15" s="48" t="s">
        <v>580</v>
      </c>
      <c r="B15" s="22" t="s">
        <v>581</v>
      </c>
      <c r="F15" s="36"/>
      <c r="G15" s="46"/>
      <c r="O15" s="36"/>
    </row>
    <row r="16" ht="15.75" customHeight="1">
      <c r="F16" s="36"/>
      <c r="G16" s="46"/>
      <c r="O16" s="36"/>
    </row>
    <row r="17" ht="15.75" customHeight="1">
      <c r="F17" s="36"/>
      <c r="G17" s="46"/>
      <c r="O17" s="36"/>
    </row>
    <row r="18" ht="15.75" customHeight="1">
      <c r="F18" s="36"/>
      <c r="G18" s="46"/>
      <c r="O18" s="36"/>
    </row>
    <row r="19" ht="15.75" customHeight="1">
      <c r="F19" s="36"/>
      <c r="G19" s="46"/>
      <c r="O19" s="36"/>
    </row>
    <row r="20" ht="15.75" customHeight="1">
      <c r="F20" s="36"/>
      <c r="G20" s="46"/>
      <c r="O20" s="36"/>
    </row>
    <row r="21">
      <c r="F21" s="36"/>
      <c r="G21" s="46"/>
      <c r="O21" s="36"/>
    </row>
    <row r="22">
      <c r="F22" s="36"/>
      <c r="G22" s="46"/>
      <c r="O22" s="36"/>
    </row>
    <row r="23">
      <c r="F23" s="36"/>
      <c r="G23" s="46"/>
      <c r="O23" s="36"/>
    </row>
    <row r="24">
      <c r="F24" s="36"/>
      <c r="G24" s="46"/>
      <c r="O24" s="36"/>
    </row>
    <row r="25">
      <c r="F25" s="36"/>
      <c r="G25" s="46"/>
      <c r="O25" s="36"/>
    </row>
    <row r="26">
      <c r="F26" s="36"/>
      <c r="G26" s="46"/>
      <c r="O26" s="36"/>
    </row>
    <row r="27">
      <c r="F27" s="36"/>
      <c r="G27" s="46"/>
      <c r="O27" s="36"/>
    </row>
    <row r="28">
      <c r="F28" s="36"/>
      <c r="G28" s="46"/>
      <c r="O28" s="36"/>
    </row>
    <row r="29">
      <c r="F29" s="36"/>
      <c r="G29" s="46"/>
      <c r="O29" s="36"/>
    </row>
    <row r="30">
      <c r="F30" s="36"/>
      <c r="G30" s="46"/>
      <c r="O30" s="36"/>
    </row>
    <row r="31">
      <c r="F31" s="36"/>
      <c r="G31" s="46"/>
      <c r="O31" s="36"/>
    </row>
    <row r="32">
      <c r="F32" s="36"/>
      <c r="G32" s="46"/>
      <c r="O32" s="36"/>
    </row>
    <row r="33">
      <c r="F33" s="36"/>
      <c r="G33" s="46"/>
      <c r="O33" s="36"/>
    </row>
    <row r="34">
      <c r="F34" s="36"/>
      <c r="G34" s="46"/>
      <c r="O34" s="36"/>
    </row>
    <row r="35">
      <c r="F35" s="36"/>
      <c r="G35" s="46"/>
      <c r="O35" s="36"/>
    </row>
    <row r="36">
      <c r="F36" s="36"/>
      <c r="G36" s="46"/>
      <c r="O36" s="36"/>
    </row>
    <row r="37">
      <c r="F37" s="36"/>
      <c r="G37" s="46"/>
      <c r="O37" s="36"/>
    </row>
    <row r="38">
      <c r="F38" s="36"/>
      <c r="G38" s="46"/>
      <c r="O38" s="36"/>
    </row>
    <row r="39">
      <c r="F39" s="36"/>
      <c r="G39" s="46"/>
      <c r="O39" s="36"/>
    </row>
    <row r="40">
      <c r="F40" s="36"/>
      <c r="G40" s="46"/>
      <c r="O40" s="36"/>
    </row>
    <row r="41">
      <c r="F41" s="36"/>
      <c r="G41" s="46"/>
      <c r="O41" s="36"/>
    </row>
    <row r="42">
      <c r="F42" s="36"/>
      <c r="G42" s="46"/>
      <c r="O42" s="36"/>
    </row>
    <row r="43">
      <c r="F43" s="36"/>
      <c r="G43" s="46"/>
      <c r="O43" s="36"/>
    </row>
    <row r="44">
      <c r="F44" s="36"/>
      <c r="G44" s="46"/>
      <c r="O44" s="36"/>
    </row>
    <row r="45">
      <c r="F45" s="36"/>
      <c r="G45" s="46"/>
      <c r="O45" s="36"/>
    </row>
    <row r="46">
      <c r="F46" s="36"/>
      <c r="G46" s="46"/>
      <c r="O46" s="36"/>
    </row>
    <row r="47">
      <c r="F47" s="36"/>
      <c r="G47" s="46"/>
      <c r="O47" s="36"/>
    </row>
    <row r="48">
      <c r="F48" s="36"/>
      <c r="G48" s="46"/>
      <c r="O48" s="36"/>
    </row>
    <row r="49">
      <c r="F49" s="36"/>
      <c r="G49" s="46"/>
      <c r="O49" s="36"/>
    </row>
    <row r="50">
      <c r="F50" s="36"/>
      <c r="G50" s="46"/>
      <c r="O50" s="36"/>
    </row>
    <row r="51">
      <c r="F51" s="36"/>
      <c r="G51" s="46"/>
      <c r="O51" s="36"/>
    </row>
    <row r="52">
      <c r="F52" s="36"/>
      <c r="G52" s="46"/>
      <c r="O52" s="36"/>
    </row>
    <row r="53">
      <c r="F53" s="36"/>
      <c r="G53" s="46"/>
      <c r="O53" s="36"/>
    </row>
    <row r="54">
      <c r="F54" s="36"/>
      <c r="G54" s="46"/>
      <c r="O54" s="36"/>
    </row>
    <row r="55">
      <c r="F55" s="36"/>
      <c r="G55" s="46"/>
      <c r="O55" s="36"/>
    </row>
    <row r="56">
      <c r="F56" s="36"/>
      <c r="G56" s="49"/>
      <c r="O56" s="36"/>
    </row>
    <row r="57">
      <c r="F57" s="36"/>
      <c r="G57" s="46"/>
      <c r="O57" s="36"/>
    </row>
    <row r="58">
      <c r="F58" s="36"/>
      <c r="G58" s="46"/>
      <c r="O58" s="36"/>
    </row>
    <row r="59">
      <c r="F59" s="36"/>
      <c r="G59" s="46"/>
      <c r="O59" s="36"/>
    </row>
    <row r="60">
      <c r="F60" s="36"/>
      <c r="G60" s="46"/>
      <c r="O60" s="36"/>
    </row>
    <row r="61">
      <c r="F61" s="36"/>
      <c r="G61" s="46"/>
      <c r="O61" s="36"/>
    </row>
    <row r="62">
      <c r="F62" s="36"/>
      <c r="G62" s="46"/>
      <c r="O62" s="36"/>
    </row>
    <row r="63">
      <c r="F63" s="36"/>
      <c r="G63" s="46"/>
      <c r="O63" s="36"/>
    </row>
    <row r="64">
      <c r="F64" s="36"/>
      <c r="G64" s="46"/>
      <c r="O64" s="36"/>
    </row>
    <row r="65">
      <c r="F65" s="36"/>
      <c r="G65" s="46"/>
      <c r="O65" s="36"/>
    </row>
    <row r="66">
      <c r="F66" s="36"/>
      <c r="G66" s="46"/>
      <c r="O66" s="36"/>
    </row>
    <row r="67">
      <c r="F67" s="36"/>
      <c r="G67" s="46"/>
      <c r="O67" s="36"/>
    </row>
    <row r="68">
      <c r="F68" s="36"/>
      <c r="G68" s="46"/>
      <c r="O68" s="36"/>
    </row>
    <row r="69">
      <c r="F69" s="36"/>
      <c r="G69" s="46"/>
      <c r="O69" s="36"/>
    </row>
    <row r="70">
      <c r="F70" s="36"/>
      <c r="G70" s="46"/>
      <c r="O70" s="36"/>
    </row>
    <row r="71">
      <c r="F71" s="36"/>
      <c r="G71" s="46"/>
      <c r="O71" s="36"/>
    </row>
    <row r="72">
      <c r="F72" s="36"/>
      <c r="G72" s="46"/>
      <c r="O72" s="36"/>
    </row>
    <row r="73">
      <c r="F73" s="36"/>
      <c r="G73" s="46"/>
      <c r="O73" s="36"/>
    </row>
    <row r="74">
      <c r="F74" s="36"/>
      <c r="G74" s="46"/>
      <c r="O74" s="36"/>
    </row>
    <row r="75">
      <c r="F75" s="36"/>
      <c r="G75" s="46"/>
      <c r="O75" s="36"/>
    </row>
    <row r="76">
      <c r="F76" s="36"/>
      <c r="G76" s="46"/>
      <c r="O76" s="36"/>
    </row>
    <row r="77">
      <c r="F77" s="36"/>
      <c r="G77" s="46"/>
      <c r="O77" s="36"/>
    </row>
    <row r="78">
      <c r="F78" s="36"/>
      <c r="G78" s="46"/>
      <c r="O78" s="36"/>
    </row>
    <row r="79">
      <c r="F79" s="36"/>
      <c r="G79" s="46"/>
      <c r="O79" s="36"/>
    </row>
    <row r="80">
      <c r="F80" s="36"/>
      <c r="G80" s="46"/>
      <c r="O80" s="36"/>
    </row>
    <row r="81">
      <c r="F81" s="36"/>
      <c r="G81" s="46"/>
      <c r="O81" s="36"/>
    </row>
    <row r="82">
      <c r="F82" s="36"/>
      <c r="G82" s="46"/>
      <c r="O82" s="36"/>
    </row>
    <row r="83">
      <c r="F83" s="36"/>
      <c r="G83" s="46"/>
      <c r="O83" s="36"/>
    </row>
    <row r="84">
      <c r="F84" s="36"/>
      <c r="G84" s="46"/>
      <c r="O84" s="36"/>
    </row>
    <row r="85">
      <c r="F85" s="36"/>
      <c r="G85" s="46"/>
      <c r="O85" s="36"/>
    </row>
    <row r="86">
      <c r="F86" s="36"/>
      <c r="G86" s="46"/>
      <c r="O86" s="36"/>
    </row>
    <row r="87">
      <c r="F87" s="36"/>
      <c r="G87" s="46"/>
      <c r="O87" s="36"/>
    </row>
    <row r="88">
      <c r="F88" s="36"/>
      <c r="G88" s="46"/>
      <c r="O88" s="36"/>
    </row>
    <row r="89">
      <c r="F89" s="36"/>
      <c r="G89" s="46"/>
      <c r="O89" s="36"/>
    </row>
    <row r="90">
      <c r="F90" s="36"/>
      <c r="G90" s="46"/>
      <c r="O90" s="36"/>
    </row>
    <row r="91">
      <c r="F91" s="36"/>
      <c r="G91" s="46"/>
      <c r="O91" s="36"/>
    </row>
    <row r="92">
      <c r="F92" s="36"/>
      <c r="G92" s="46"/>
      <c r="O92" s="36"/>
    </row>
    <row r="93">
      <c r="F93" s="36"/>
      <c r="G93" s="46"/>
      <c r="O93" s="36"/>
    </row>
    <row r="94">
      <c r="F94" s="36"/>
      <c r="G94" s="46"/>
      <c r="O94" s="36"/>
    </row>
    <row r="95">
      <c r="F95" s="36"/>
      <c r="G95" s="46"/>
      <c r="O95" s="36"/>
    </row>
    <row r="96">
      <c r="F96" s="36"/>
      <c r="G96" s="46"/>
      <c r="O96" s="36"/>
    </row>
    <row r="97">
      <c r="F97" s="36"/>
      <c r="G97" s="46"/>
      <c r="O97" s="36"/>
    </row>
    <row r="98">
      <c r="F98" s="36"/>
      <c r="G98" s="46"/>
      <c r="O98" s="36"/>
    </row>
    <row r="99">
      <c r="F99" s="36"/>
      <c r="G99" s="46"/>
      <c r="O99" s="36"/>
    </row>
    <row r="100">
      <c r="F100" s="36"/>
      <c r="G100" s="46"/>
      <c r="O100" s="36"/>
    </row>
    <row r="101">
      <c r="F101" s="36"/>
      <c r="G101" s="46"/>
      <c r="O101" s="36"/>
    </row>
    <row r="102">
      <c r="F102" s="36"/>
      <c r="G102" s="46"/>
      <c r="O102" s="36"/>
    </row>
    <row r="103">
      <c r="F103" s="36"/>
      <c r="G103" s="49"/>
      <c r="O103" s="36"/>
    </row>
    <row r="104">
      <c r="F104" s="36"/>
      <c r="G104" s="43"/>
      <c r="O104" s="36"/>
    </row>
    <row r="105">
      <c r="F105" s="36"/>
      <c r="G105" s="46"/>
      <c r="O105" s="36"/>
    </row>
    <row r="106">
      <c r="F106" s="36"/>
      <c r="G106" s="49"/>
      <c r="O106" s="36"/>
    </row>
    <row r="107">
      <c r="F107" s="36"/>
      <c r="G107" s="43"/>
      <c r="O107" s="36"/>
    </row>
    <row r="108">
      <c r="F108" s="36"/>
      <c r="G108" s="46"/>
      <c r="O108" s="36"/>
    </row>
    <row r="109">
      <c r="F109" s="36"/>
      <c r="G109" s="46"/>
      <c r="O109" s="36"/>
    </row>
    <row r="110">
      <c r="F110" s="36"/>
      <c r="G110" s="46"/>
      <c r="O110" s="36"/>
    </row>
    <row r="111">
      <c r="F111" s="36"/>
      <c r="G111" s="46"/>
      <c r="O111" s="36"/>
    </row>
    <row r="112">
      <c r="F112" s="36"/>
      <c r="G112" s="46"/>
      <c r="O112" s="36"/>
    </row>
    <row r="113">
      <c r="F113" s="36"/>
      <c r="G113" s="49"/>
      <c r="O113" s="36"/>
    </row>
    <row r="114">
      <c r="F114" s="36"/>
      <c r="G114" s="43"/>
      <c r="O114" s="36"/>
    </row>
    <row r="115">
      <c r="F115" s="36"/>
      <c r="G115" s="46"/>
      <c r="O115" s="36"/>
    </row>
    <row r="116">
      <c r="F116" s="36"/>
      <c r="G116" s="46"/>
      <c r="O116" s="36"/>
    </row>
    <row r="117">
      <c r="F117" s="36"/>
      <c r="G117" s="46"/>
      <c r="O117" s="36"/>
    </row>
    <row r="118">
      <c r="F118" s="36"/>
      <c r="G118" s="46"/>
      <c r="O118" s="36"/>
    </row>
    <row r="119">
      <c r="F119" s="36"/>
      <c r="G119" s="46"/>
      <c r="O119" s="36"/>
    </row>
    <row r="120">
      <c r="F120" s="36"/>
      <c r="G120" s="46"/>
      <c r="O120" s="36"/>
    </row>
    <row r="121">
      <c r="F121" s="36"/>
      <c r="G121" s="46"/>
      <c r="O121" s="36"/>
    </row>
    <row r="122">
      <c r="F122" s="36"/>
      <c r="G122" s="46"/>
      <c r="O122" s="36"/>
    </row>
    <row r="123">
      <c r="F123" s="36"/>
      <c r="G123" s="46"/>
      <c r="O123" s="36"/>
    </row>
    <row r="124">
      <c r="F124" s="36"/>
      <c r="G124" s="46"/>
      <c r="O124" s="36"/>
    </row>
    <row r="125">
      <c r="F125" s="36"/>
      <c r="G125" s="46"/>
      <c r="O125" s="36"/>
    </row>
    <row r="126">
      <c r="F126" s="36"/>
      <c r="G126" s="46"/>
      <c r="O126" s="36"/>
    </row>
    <row r="127">
      <c r="F127" s="36"/>
      <c r="G127" s="46"/>
      <c r="O127" s="36"/>
    </row>
    <row r="128">
      <c r="F128" s="36"/>
      <c r="G128" s="49"/>
      <c r="O128" s="36"/>
    </row>
    <row r="129">
      <c r="F129" s="36"/>
      <c r="G129" s="43"/>
      <c r="O129" s="36"/>
    </row>
    <row r="130">
      <c r="F130" s="36"/>
      <c r="G130" s="46"/>
      <c r="O130" s="36"/>
    </row>
    <row r="131">
      <c r="F131" s="36"/>
      <c r="G131" s="46"/>
      <c r="O131" s="36"/>
    </row>
    <row r="132">
      <c r="F132" s="36"/>
      <c r="G132" s="46"/>
      <c r="O132" s="36"/>
    </row>
    <row r="133">
      <c r="F133" s="36"/>
      <c r="G133" s="46"/>
      <c r="O133" s="36"/>
    </row>
    <row r="134">
      <c r="F134" s="36"/>
      <c r="G134" s="49"/>
      <c r="O134" s="36"/>
    </row>
    <row r="135">
      <c r="F135" s="36"/>
      <c r="G135" s="46"/>
      <c r="O135" s="36"/>
    </row>
    <row r="136">
      <c r="F136" s="36"/>
      <c r="G136" s="46"/>
      <c r="O136" s="36"/>
    </row>
    <row r="137">
      <c r="F137" s="36"/>
      <c r="G137" s="49"/>
      <c r="O137" s="36"/>
    </row>
    <row r="138">
      <c r="F138" s="36"/>
      <c r="G138" s="46"/>
      <c r="O138" s="36"/>
    </row>
    <row r="139">
      <c r="F139" s="36"/>
      <c r="G139" s="46"/>
      <c r="O139" s="36"/>
    </row>
    <row r="140">
      <c r="F140" s="36"/>
      <c r="G140" s="46"/>
      <c r="O140" s="36"/>
    </row>
    <row r="141">
      <c r="F141" s="36"/>
      <c r="G141" s="46"/>
      <c r="O141" s="36"/>
    </row>
    <row r="142">
      <c r="F142" s="36"/>
      <c r="G142" s="46"/>
      <c r="O142" s="36"/>
    </row>
    <row r="143">
      <c r="F143" s="36"/>
      <c r="G143" s="46"/>
      <c r="O143" s="36"/>
    </row>
    <row r="144">
      <c r="F144" s="36"/>
      <c r="G144" s="46"/>
      <c r="O144" s="36"/>
    </row>
    <row r="145">
      <c r="F145" s="36"/>
      <c r="G145" s="46"/>
      <c r="O145" s="36"/>
    </row>
    <row r="146">
      <c r="F146" s="36"/>
      <c r="G146" s="46"/>
      <c r="O146" s="36"/>
    </row>
    <row r="147">
      <c r="F147" s="36"/>
      <c r="G147" s="46"/>
      <c r="O147" s="36"/>
    </row>
    <row r="148">
      <c r="F148" s="36"/>
      <c r="G148" s="46"/>
      <c r="O148" s="36"/>
    </row>
    <row r="149">
      <c r="F149" s="36"/>
      <c r="G149" s="46"/>
      <c r="O149" s="36"/>
    </row>
    <row r="150">
      <c r="F150" s="36"/>
      <c r="G150" s="46"/>
      <c r="O150" s="36"/>
    </row>
    <row r="151">
      <c r="F151" s="36"/>
      <c r="G151" s="46"/>
      <c r="O151" s="36"/>
    </row>
    <row r="152">
      <c r="F152" s="36"/>
      <c r="G152" s="49"/>
      <c r="O152" s="36"/>
    </row>
    <row r="153">
      <c r="F153" s="36"/>
      <c r="G153" s="46"/>
      <c r="O153" s="36"/>
    </row>
    <row r="154">
      <c r="F154" s="36"/>
      <c r="G154" s="46"/>
      <c r="O154" s="36"/>
    </row>
    <row r="155">
      <c r="F155" s="36"/>
      <c r="G155" s="46"/>
      <c r="O155" s="36"/>
    </row>
    <row r="156">
      <c r="F156" s="36"/>
      <c r="G156" s="46"/>
      <c r="O156" s="36"/>
    </row>
    <row r="157">
      <c r="F157" s="36"/>
      <c r="G157" s="46"/>
      <c r="O157" s="36"/>
    </row>
    <row r="158">
      <c r="F158" s="36"/>
      <c r="G158" s="46"/>
      <c r="O158" s="36"/>
    </row>
    <row r="159">
      <c r="F159" s="36"/>
      <c r="G159" s="49"/>
      <c r="O159" s="36"/>
    </row>
    <row r="160">
      <c r="F160" s="36"/>
      <c r="G160" s="43"/>
      <c r="O160" s="36"/>
    </row>
    <row r="161">
      <c r="F161" s="36"/>
      <c r="G161" s="46"/>
      <c r="O161" s="36"/>
    </row>
    <row r="162">
      <c r="F162" s="36"/>
      <c r="G162" s="46"/>
      <c r="O162" s="36"/>
    </row>
    <row r="163">
      <c r="F163" s="36"/>
      <c r="G163" s="46"/>
      <c r="O163" s="36"/>
    </row>
    <row r="164">
      <c r="F164" s="36"/>
      <c r="G164" s="46"/>
      <c r="O164" s="36"/>
    </row>
    <row r="165">
      <c r="F165" s="36"/>
      <c r="G165" s="46"/>
      <c r="O165" s="36"/>
    </row>
    <row r="166">
      <c r="F166" s="36"/>
      <c r="G166" s="49"/>
      <c r="O166" s="36"/>
    </row>
    <row r="167">
      <c r="F167" s="36"/>
      <c r="G167" s="46"/>
      <c r="O167" s="36"/>
    </row>
    <row r="168">
      <c r="F168" s="36"/>
      <c r="G168" s="46"/>
      <c r="O168" s="36"/>
    </row>
    <row r="169">
      <c r="F169" s="36"/>
      <c r="G169" s="46"/>
      <c r="O169" s="36"/>
    </row>
    <row r="170">
      <c r="F170" s="36"/>
      <c r="G170" s="46"/>
      <c r="O170" s="36"/>
    </row>
    <row r="171">
      <c r="F171" s="36"/>
      <c r="G171" s="49"/>
      <c r="O171" s="36"/>
    </row>
    <row r="172">
      <c r="F172" s="36"/>
      <c r="G172" s="43"/>
      <c r="O172" s="36"/>
    </row>
    <row r="173">
      <c r="F173" s="36"/>
      <c r="G173" s="46"/>
      <c r="O173" s="36"/>
    </row>
    <row r="174">
      <c r="F174" s="36"/>
      <c r="G174" s="46"/>
      <c r="O174" s="36"/>
    </row>
    <row r="175">
      <c r="F175" s="36"/>
      <c r="G175" s="46"/>
      <c r="O175" s="36"/>
    </row>
    <row r="176">
      <c r="F176" s="36"/>
      <c r="G176" s="46"/>
      <c r="O176" s="36"/>
    </row>
    <row r="177">
      <c r="F177" s="36"/>
      <c r="G177" s="46"/>
      <c r="O177" s="36"/>
    </row>
    <row r="178">
      <c r="F178" s="36"/>
      <c r="G178" s="49"/>
      <c r="O178" s="36"/>
    </row>
    <row r="179">
      <c r="F179" s="36"/>
      <c r="G179" s="46"/>
      <c r="O179" s="36"/>
    </row>
    <row r="180">
      <c r="F180" s="36"/>
      <c r="G180" s="49"/>
      <c r="O180" s="36"/>
    </row>
    <row r="181">
      <c r="F181" s="36"/>
      <c r="G181" s="46"/>
      <c r="O181" s="36"/>
    </row>
    <row r="182">
      <c r="F182" s="36"/>
      <c r="G182" s="46"/>
      <c r="O182" s="36"/>
    </row>
    <row r="183">
      <c r="F183" s="36"/>
      <c r="G183" s="46"/>
      <c r="O183" s="36"/>
    </row>
    <row r="184">
      <c r="F184" s="36"/>
      <c r="G184" s="46"/>
      <c r="O184" s="36"/>
    </row>
    <row r="185">
      <c r="F185" s="36"/>
      <c r="G185" s="46"/>
      <c r="O185" s="36"/>
    </row>
    <row r="186">
      <c r="F186" s="36"/>
      <c r="G186" s="46"/>
      <c r="O186" s="36"/>
    </row>
    <row r="187">
      <c r="F187" s="36"/>
      <c r="G187" s="46"/>
      <c r="O187" s="36"/>
    </row>
    <row r="188">
      <c r="F188" s="36"/>
      <c r="G188" s="49"/>
      <c r="O188" s="36"/>
    </row>
    <row r="189">
      <c r="F189" s="36"/>
      <c r="G189" s="46"/>
      <c r="O189" s="36"/>
    </row>
    <row r="190">
      <c r="F190" s="36"/>
      <c r="G190" s="46"/>
      <c r="O190" s="36"/>
    </row>
    <row r="191">
      <c r="F191" s="36"/>
      <c r="G191" s="46"/>
      <c r="O191" s="36"/>
    </row>
    <row r="192">
      <c r="F192" s="36"/>
      <c r="G192" s="46"/>
      <c r="O192" s="36"/>
    </row>
    <row r="193">
      <c r="F193" s="36"/>
      <c r="G193" s="46"/>
      <c r="O193" s="36"/>
    </row>
    <row r="194">
      <c r="F194" s="36"/>
      <c r="G194" s="49"/>
      <c r="O194" s="36"/>
    </row>
    <row r="195">
      <c r="F195" s="36"/>
      <c r="G195" s="46"/>
      <c r="O195" s="36"/>
    </row>
    <row r="196">
      <c r="F196" s="36"/>
      <c r="G196" s="46"/>
      <c r="O196" s="36"/>
    </row>
    <row r="197">
      <c r="F197" s="36"/>
      <c r="G197" s="46"/>
      <c r="O197" s="36"/>
    </row>
    <row r="198">
      <c r="F198" s="36"/>
      <c r="G198" s="46"/>
      <c r="O198" s="36"/>
    </row>
    <row r="199">
      <c r="F199" s="36"/>
      <c r="G199" s="46"/>
      <c r="O199" s="36"/>
    </row>
    <row r="200">
      <c r="F200" s="36"/>
      <c r="G200" s="49"/>
      <c r="O200" s="36"/>
    </row>
    <row r="201">
      <c r="F201" s="36"/>
      <c r="G201" s="46"/>
      <c r="O201" s="36"/>
    </row>
    <row r="202">
      <c r="F202" s="36"/>
      <c r="G202" s="49"/>
      <c r="O202" s="36"/>
    </row>
    <row r="203">
      <c r="F203" s="36"/>
      <c r="G203" s="46"/>
      <c r="O203" s="36"/>
    </row>
    <row r="204">
      <c r="F204" s="36"/>
      <c r="G204" s="46"/>
      <c r="O204" s="36"/>
    </row>
    <row r="205">
      <c r="F205" s="36"/>
      <c r="G205" s="46"/>
      <c r="O205" s="36"/>
    </row>
    <row r="206">
      <c r="F206" s="36"/>
      <c r="G206" s="46"/>
      <c r="O206" s="36"/>
    </row>
    <row r="207">
      <c r="F207" s="36"/>
      <c r="G207" s="46"/>
      <c r="O207" s="36"/>
    </row>
    <row r="208">
      <c r="F208" s="36"/>
      <c r="G208" s="46"/>
      <c r="O208" s="36"/>
    </row>
    <row r="209">
      <c r="F209" s="36"/>
      <c r="G209" s="46"/>
      <c r="O209" s="36"/>
    </row>
    <row r="210">
      <c r="F210" s="36"/>
      <c r="G210" s="46"/>
      <c r="O210" s="36"/>
    </row>
    <row r="211">
      <c r="F211" s="36"/>
      <c r="G211" s="49"/>
      <c r="O211" s="36"/>
    </row>
    <row r="212">
      <c r="F212" s="36"/>
      <c r="G212" s="46"/>
      <c r="O212" s="36"/>
    </row>
    <row r="213">
      <c r="F213" s="36"/>
      <c r="G213" s="46"/>
      <c r="O213" s="36"/>
    </row>
    <row r="214">
      <c r="F214" s="36"/>
      <c r="G214" s="46"/>
      <c r="O214" s="36"/>
    </row>
    <row r="215">
      <c r="F215" s="36"/>
      <c r="G215" s="46"/>
      <c r="O215" s="36"/>
    </row>
    <row r="216">
      <c r="F216" s="36"/>
      <c r="G216" s="46"/>
      <c r="O216" s="36"/>
    </row>
    <row r="217">
      <c r="F217" s="36"/>
      <c r="G217" s="46"/>
      <c r="O217" s="36"/>
    </row>
    <row r="218">
      <c r="F218" s="36"/>
      <c r="G218" s="46"/>
      <c r="O218" s="36"/>
    </row>
    <row r="219">
      <c r="F219" s="36"/>
      <c r="G219" s="49"/>
      <c r="O219" s="36"/>
    </row>
    <row r="220">
      <c r="F220" s="36"/>
      <c r="G220" s="46"/>
      <c r="O220" s="36"/>
    </row>
    <row r="221">
      <c r="F221" s="36"/>
      <c r="G221" s="49"/>
      <c r="O221" s="36"/>
    </row>
    <row r="222">
      <c r="F222" s="36"/>
      <c r="G222" s="46"/>
      <c r="O222" s="36"/>
    </row>
    <row r="223">
      <c r="F223" s="36"/>
      <c r="G223" s="46"/>
      <c r="O223" s="36"/>
    </row>
    <row r="224">
      <c r="F224" s="36"/>
      <c r="G224" s="46"/>
      <c r="O224" s="36"/>
    </row>
    <row r="225">
      <c r="F225" s="36"/>
      <c r="G225" s="46"/>
      <c r="O225" s="36"/>
    </row>
    <row r="226">
      <c r="F226" s="36"/>
      <c r="G226" s="49"/>
      <c r="O226" s="36"/>
    </row>
    <row r="227">
      <c r="F227" s="36"/>
      <c r="G227" s="43"/>
      <c r="O227" s="36"/>
    </row>
    <row r="228">
      <c r="F228" s="36"/>
      <c r="G228" s="46"/>
      <c r="O228" s="36"/>
    </row>
    <row r="229">
      <c r="F229" s="36"/>
      <c r="G229" s="46"/>
      <c r="O229" s="36"/>
    </row>
    <row r="230">
      <c r="F230" s="36"/>
      <c r="G230" s="46"/>
      <c r="O230" s="36"/>
    </row>
    <row r="231">
      <c r="F231" s="36"/>
      <c r="G231" s="46"/>
      <c r="O231" s="36"/>
    </row>
    <row r="232">
      <c r="F232" s="36"/>
      <c r="G232" s="46"/>
      <c r="O232" s="36"/>
    </row>
    <row r="233">
      <c r="F233" s="36"/>
      <c r="G233" s="46"/>
      <c r="O233" s="36"/>
    </row>
    <row r="234">
      <c r="F234" s="36"/>
      <c r="G234" s="46"/>
      <c r="O234" s="36"/>
    </row>
    <row r="235">
      <c r="F235" s="36"/>
      <c r="G235" s="46"/>
      <c r="O235" s="36"/>
    </row>
    <row r="236">
      <c r="F236" s="36"/>
      <c r="G236" s="46"/>
      <c r="O236" s="36"/>
    </row>
    <row r="237">
      <c r="F237" s="36"/>
      <c r="G237" s="49"/>
      <c r="O237" s="36"/>
    </row>
    <row r="238">
      <c r="F238" s="36"/>
      <c r="G238" s="43"/>
      <c r="O238" s="36"/>
    </row>
    <row r="239">
      <c r="F239" s="36"/>
      <c r="G239" s="46"/>
      <c r="O239" s="36"/>
    </row>
    <row r="240">
      <c r="F240" s="36"/>
      <c r="G240" s="46"/>
      <c r="O240" s="36"/>
    </row>
    <row r="241">
      <c r="F241" s="36"/>
      <c r="G241" s="46"/>
      <c r="O241" s="36"/>
    </row>
    <row r="242">
      <c r="F242" s="36"/>
      <c r="G242" s="46"/>
      <c r="O242" s="36"/>
    </row>
    <row r="243">
      <c r="F243" s="36"/>
      <c r="G243" s="46"/>
      <c r="O243" s="36"/>
    </row>
    <row r="244">
      <c r="F244" s="36"/>
      <c r="G244" s="49"/>
      <c r="O244" s="36"/>
    </row>
    <row r="245">
      <c r="F245" s="36"/>
      <c r="G245" s="46"/>
      <c r="O245" s="36"/>
    </row>
    <row r="246">
      <c r="F246" s="36"/>
      <c r="G246" s="46"/>
      <c r="O246" s="36"/>
    </row>
    <row r="247">
      <c r="F247" s="36"/>
      <c r="G247" s="46"/>
      <c r="O247" s="36"/>
    </row>
    <row r="248">
      <c r="F248" s="36"/>
      <c r="G248" s="46"/>
      <c r="O248" s="36"/>
    </row>
    <row r="249">
      <c r="F249" s="36"/>
      <c r="G249" s="46"/>
      <c r="O249" s="36"/>
    </row>
    <row r="250">
      <c r="F250" s="36"/>
      <c r="G250" s="49"/>
      <c r="O250" s="36"/>
    </row>
    <row r="251">
      <c r="F251" s="36"/>
      <c r="G251" s="46"/>
      <c r="O251" s="36"/>
    </row>
    <row r="252">
      <c r="F252" s="36"/>
      <c r="G252" s="46"/>
      <c r="O252" s="36"/>
    </row>
    <row r="253">
      <c r="F253" s="36"/>
      <c r="G253" s="46"/>
      <c r="O253" s="36"/>
    </row>
    <row r="254">
      <c r="F254" s="36"/>
      <c r="G254" s="46"/>
      <c r="O254" s="36"/>
    </row>
    <row r="255">
      <c r="F255" s="36"/>
      <c r="G255" s="46"/>
      <c r="O255" s="36"/>
    </row>
    <row r="256">
      <c r="F256" s="36"/>
      <c r="G256" s="49"/>
      <c r="O256" s="36"/>
    </row>
    <row r="257">
      <c r="F257" s="36"/>
      <c r="G257" s="46"/>
      <c r="O257" s="36"/>
    </row>
    <row r="258">
      <c r="F258" s="36"/>
      <c r="G258" s="46"/>
      <c r="O258" s="36"/>
    </row>
    <row r="259">
      <c r="F259" s="36"/>
      <c r="G259" s="46"/>
      <c r="O259" s="36"/>
    </row>
    <row r="260">
      <c r="F260" s="36"/>
      <c r="G260" s="46"/>
      <c r="O260" s="36"/>
    </row>
    <row r="261">
      <c r="F261" s="36"/>
      <c r="G261" s="46"/>
      <c r="O261" s="36"/>
    </row>
    <row r="262">
      <c r="F262" s="36"/>
      <c r="G262" s="49"/>
      <c r="O262" s="36"/>
    </row>
    <row r="263">
      <c r="F263" s="36"/>
      <c r="G263" s="46"/>
      <c r="O263" s="36"/>
    </row>
    <row r="264">
      <c r="F264" s="36"/>
      <c r="G264" s="46"/>
      <c r="O264" s="36"/>
    </row>
    <row r="265">
      <c r="F265" s="36"/>
      <c r="G265" s="46"/>
      <c r="O265" s="36"/>
    </row>
    <row r="266">
      <c r="F266" s="36"/>
      <c r="G266" s="49"/>
      <c r="O266" s="36"/>
    </row>
    <row r="267">
      <c r="F267" s="36"/>
      <c r="G267" s="43"/>
      <c r="O267" s="36"/>
    </row>
    <row r="268">
      <c r="F268" s="36"/>
      <c r="G268" s="46"/>
      <c r="O268" s="36"/>
    </row>
    <row r="269">
      <c r="F269" s="36"/>
      <c r="G269" s="46"/>
      <c r="O269" s="36"/>
    </row>
    <row r="270">
      <c r="F270" s="36"/>
      <c r="G270" s="46"/>
      <c r="O270" s="36"/>
    </row>
    <row r="271">
      <c r="F271" s="36"/>
      <c r="G271" s="46"/>
      <c r="O271" s="36"/>
    </row>
    <row r="272">
      <c r="F272" s="36"/>
      <c r="G272" s="46"/>
      <c r="O272" s="36"/>
    </row>
    <row r="273">
      <c r="F273" s="36"/>
      <c r="G273" s="49"/>
      <c r="O273" s="36"/>
    </row>
    <row r="274">
      <c r="F274" s="36"/>
      <c r="G274" s="46"/>
      <c r="O274" s="36"/>
    </row>
    <row r="275">
      <c r="F275" s="36"/>
      <c r="G275" s="49"/>
      <c r="O275" s="36"/>
    </row>
    <row r="276">
      <c r="F276" s="36"/>
      <c r="G276" s="46"/>
      <c r="O276" s="36"/>
    </row>
    <row r="277">
      <c r="F277" s="36"/>
      <c r="G277" s="46"/>
      <c r="O277" s="36"/>
    </row>
    <row r="278">
      <c r="F278" s="36"/>
      <c r="G278" s="46"/>
      <c r="O278" s="36"/>
    </row>
    <row r="279">
      <c r="F279" s="36"/>
      <c r="G279" s="46"/>
      <c r="O279" s="36"/>
    </row>
    <row r="280">
      <c r="F280" s="36"/>
      <c r="G280" s="46"/>
      <c r="O280" s="36"/>
    </row>
    <row r="281">
      <c r="F281" s="36"/>
      <c r="G281" s="49"/>
      <c r="O281" s="36"/>
    </row>
    <row r="282">
      <c r="F282" s="36"/>
      <c r="G282" s="46"/>
      <c r="O282" s="36"/>
    </row>
    <row r="283">
      <c r="F283" s="36"/>
      <c r="G283" s="46"/>
      <c r="O283" s="36"/>
    </row>
    <row r="284">
      <c r="F284" s="36"/>
      <c r="G284" s="46"/>
      <c r="O284" s="36"/>
    </row>
    <row r="285">
      <c r="F285" s="36"/>
      <c r="G285" s="46"/>
      <c r="O285" s="36"/>
    </row>
    <row r="286">
      <c r="F286" s="36"/>
      <c r="G286" s="46"/>
      <c r="O286" s="36"/>
    </row>
    <row r="287">
      <c r="F287" s="36"/>
      <c r="G287" s="46"/>
      <c r="O287" s="36"/>
    </row>
    <row r="288">
      <c r="F288" s="36"/>
      <c r="G288" s="46"/>
      <c r="O288" s="36"/>
    </row>
    <row r="289">
      <c r="F289" s="36"/>
      <c r="G289" s="46"/>
      <c r="O289" s="36"/>
    </row>
    <row r="290">
      <c r="F290" s="36"/>
      <c r="G290" s="46"/>
      <c r="O290" s="36"/>
    </row>
    <row r="291">
      <c r="F291" s="36"/>
      <c r="G291" s="46"/>
      <c r="O291" s="36"/>
    </row>
    <row r="292">
      <c r="F292" s="36"/>
      <c r="G292" s="49"/>
      <c r="O292" s="36"/>
    </row>
    <row r="293">
      <c r="F293" s="36"/>
      <c r="G293" s="46"/>
      <c r="O293" s="36"/>
    </row>
    <row r="294">
      <c r="F294" s="36"/>
      <c r="G294" s="49"/>
      <c r="O294" s="36"/>
    </row>
    <row r="295">
      <c r="F295" s="36"/>
      <c r="G295" s="46"/>
      <c r="O295" s="36"/>
    </row>
    <row r="296">
      <c r="F296" s="36"/>
      <c r="G296" s="46"/>
      <c r="O296" s="36"/>
    </row>
    <row r="297">
      <c r="F297" s="36"/>
      <c r="G297" s="46"/>
      <c r="O297" s="36"/>
    </row>
    <row r="298">
      <c r="F298" s="36"/>
      <c r="G298" s="46"/>
      <c r="O298" s="36"/>
    </row>
    <row r="299">
      <c r="F299" s="36"/>
      <c r="G299" s="46"/>
      <c r="O299" s="36"/>
    </row>
    <row r="300">
      <c r="F300" s="36"/>
      <c r="G300" s="49"/>
      <c r="O300" s="36"/>
    </row>
    <row r="301">
      <c r="F301" s="36"/>
      <c r="G301" s="46"/>
      <c r="O301" s="36"/>
    </row>
    <row r="302">
      <c r="F302" s="36"/>
      <c r="G302" s="46"/>
      <c r="O302" s="36"/>
    </row>
    <row r="303">
      <c r="F303" s="36"/>
      <c r="G303" s="46"/>
      <c r="O303" s="36"/>
    </row>
    <row r="304">
      <c r="F304" s="36"/>
      <c r="G304" s="46"/>
      <c r="O304" s="36"/>
    </row>
    <row r="305">
      <c r="F305" s="36"/>
      <c r="G305" s="46"/>
      <c r="O305" s="36"/>
    </row>
    <row r="306">
      <c r="F306" s="36"/>
      <c r="G306" s="46"/>
      <c r="O306" s="36"/>
    </row>
    <row r="307">
      <c r="F307" s="36"/>
      <c r="G307" s="46"/>
      <c r="O307" s="36"/>
    </row>
    <row r="308">
      <c r="F308" s="36"/>
      <c r="G308" s="46"/>
      <c r="O308" s="36"/>
    </row>
    <row r="309">
      <c r="F309" s="36"/>
      <c r="G309" s="49"/>
      <c r="O309" s="36"/>
    </row>
    <row r="310">
      <c r="F310" s="36"/>
      <c r="G310" s="46"/>
      <c r="O310" s="36"/>
    </row>
    <row r="311">
      <c r="F311" s="36"/>
      <c r="G311" s="46"/>
      <c r="O311" s="36"/>
    </row>
    <row r="312">
      <c r="F312" s="36"/>
      <c r="G312" s="49"/>
      <c r="O312" s="36"/>
    </row>
    <row r="313">
      <c r="F313" s="36"/>
      <c r="G313" s="43"/>
      <c r="O313" s="36"/>
    </row>
    <row r="314">
      <c r="F314" s="36"/>
      <c r="G314" s="46"/>
      <c r="O314" s="36"/>
    </row>
    <row r="315">
      <c r="F315" s="36"/>
      <c r="G315" s="49"/>
      <c r="O315" s="36"/>
    </row>
    <row r="316">
      <c r="F316" s="36"/>
      <c r="G316" s="46"/>
      <c r="O316" s="36"/>
    </row>
    <row r="317">
      <c r="F317" s="36"/>
      <c r="G317" s="46"/>
      <c r="O317" s="36"/>
    </row>
    <row r="318">
      <c r="F318" s="36"/>
      <c r="G318" s="46"/>
      <c r="O318" s="36"/>
    </row>
    <row r="319">
      <c r="F319" s="36"/>
      <c r="G319" s="46"/>
      <c r="O319" s="36"/>
    </row>
    <row r="320">
      <c r="F320" s="36"/>
      <c r="G320" s="46"/>
      <c r="O320" s="36"/>
    </row>
    <row r="321">
      <c r="F321" s="36"/>
      <c r="G321" s="49"/>
      <c r="O321" s="36"/>
    </row>
    <row r="322">
      <c r="F322" s="36"/>
      <c r="G322" s="46"/>
      <c r="O322" s="36"/>
    </row>
    <row r="323">
      <c r="F323" s="36"/>
      <c r="G323" s="49"/>
      <c r="O323" s="36"/>
    </row>
    <row r="324">
      <c r="F324" s="36"/>
      <c r="G324" s="46"/>
      <c r="O324" s="36"/>
    </row>
    <row r="325">
      <c r="F325" s="36"/>
      <c r="G325" s="46"/>
      <c r="O325" s="36"/>
    </row>
    <row r="326">
      <c r="F326" s="36"/>
      <c r="G326" s="46"/>
      <c r="O326" s="36"/>
    </row>
    <row r="327">
      <c r="F327" s="36"/>
      <c r="G327" s="46"/>
      <c r="O327" s="36"/>
    </row>
    <row r="328">
      <c r="F328" s="36"/>
      <c r="G328" s="46"/>
      <c r="O328" s="36"/>
    </row>
    <row r="329">
      <c r="F329" s="36"/>
      <c r="G329" s="46"/>
      <c r="O329" s="36"/>
    </row>
    <row r="330">
      <c r="F330" s="36"/>
      <c r="G330" s="46"/>
      <c r="O330" s="36"/>
    </row>
    <row r="331">
      <c r="F331" s="36"/>
      <c r="G331" s="46"/>
      <c r="O331" s="36"/>
    </row>
    <row r="332">
      <c r="F332" s="36"/>
      <c r="G332" s="49"/>
      <c r="O332" s="36"/>
    </row>
    <row r="333">
      <c r="F333" s="36"/>
      <c r="G333" s="46"/>
      <c r="O333" s="36"/>
    </row>
    <row r="334">
      <c r="F334" s="36"/>
      <c r="G334" s="46"/>
      <c r="O334" s="36"/>
    </row>
    <row r="335">
      <c r="F335" s="36"/>
      <c r="G335" s="46"/>
      <c r="O335" s="36"/>
    </row>
    <row r="336">
      <c r="F336" s="36"/>
      <c r="G336" s="49"/>
      <c r="O336" s="36"/>
    </row>
    <row r="337">
      <c r="F337" s="36"/>
      <c r="G337" s="46"/>
      <c r="O337" s="36"/>
    </row>
    <row r="338">
      <c r="F338" s="36"/>
      <c r="G338" s="46"/>
      <c r="O338" s="36"/>
    </row>
    <row r="339">
      <c r="F339" s="36"/>
      <c r="G339" s="46"/>
      <c r="O339" s="36"/>
    </row>
    <row r="340">
      <c r="F340" s="36"/>
      <c r="G340" s="46"/>
      <c r="O340" s="36"/>
    </row>
    <row r="341">
      <c r="F341" s="36"/>
      <c r="G341" s="46"/>
      <c r="O341" s="36"/>
    </row>
    <row r="342">
      <c r="F342" s="36"/>
      <c r="G342" s="46"/>
      <c r="O342" s="36"/>
    </row>
    <row r="343">
      <c r="F343" s="36"/>
      <c r="G343" s="46"/>
      <c r="O343" s="36"/>
    </row>
    <row r="344">
      <c r="F344" s="36"/>
      <c r="G344" s="49"/>
      <c r="O344" s="36"/>
    </row>
    <row r="345">
      <c r="F345" s="36"/>
      <c r="G345" s="46"/>
      <c r="O345" s="36"/>
    </row>
    <row r="346">
      <c r="F346" s="36"/>
      <c r="G346" s="49"/>
      <c r="O346" s="36"/>
    </row>
    <row r="347">
      <c r="F347" s="36"/>
      <c r="G347" s="43"/>
      <c r="O347" s="36"/>
    </row>
    <row r="348">
      <c r="F348" s="36"/>
      <c r="G348" s="46"/>
      <c r="O348" s="36"/>
    </row>
    <row r="349">
      <c r="F349" s="36"/>
      <c r="G349" s="49"/>
      <c r="O349" s="36"/>
    </row>
    <row r="350">
      <c r="F350" s="36"/>
      <c r="G350" s="43"/>
      <c r="O350" s="36"/>
    </row>
    <row r="351">
      <c r="F351" s="36"/>
      <c r="G351" s="46"/>
      <c r="O351" s="36"/>
    </row>
    <row r="352">
      <c r="F352" s="36"/>
      <c r="G352" s="46"/>
      <c r="O352" s="36"/>
    </row>
    <row r="353">
      <c r="F353" s="36"/>
      <c r="G353" s="46"/>
      <c r="O353" s="36"/>
    </row>
    <row r="354">
      <c r="F354" s="36"/>
      <c r="G354" s="46"/>
      <c r="O354" s="36"/>
    </row>
    <row r="355">
      <c r="F355" s="36"/>
      <c r="G355" s="46"/>
      <c r="O355" s="36"/>
    </row>
    <row r="356">
      <c r="F356" s="36"/>
      <c r="G356" s="46"/>
      <c r="O356" s="36"/>
    </row>
    <row r="357">
      <c r="F357" s="36"/>
      <c r="G357" s="49"/>
      <c r="O357" s="36"/>
    </row>
    <row r="358">
      <c r="F358" s="36"/>
      <c r="G358" s="46"/>
      <c r="O358" s="36"/>
    </row>
    <row r="359">
      <c r="F359" s="36"/>
      <c r="G359" s="46"/>
      <c r="O359" s="36"/>
    </row>
    <row r="360">
      <c r="F360" s="36"/>
      <c r="G360" s="46"/>
      <c r="O360" s="36"/>
    </row>
    <row r="361">
      <c r="F361" s="36"/>
      <c r="G361" s="49"/>
      <c r="O361" s="36"/>
    </row>
    <row r="362">
      <c r="F362" s="36"/>
      <c r="G362" s="46"/>
      <c r="O362" s="36"/>
    </row>
    <row r="363">
      <c r="F363" s="36"/>
      <c r="G363" s="49"/>
      <c r="O363" s="36"/>
    </row>
    <row r="364">
      <c r="F364" s="36"/>
      <c r="G364" s="46"/>
      <c r="O364" s="36"/>
    </row>
    <row r="365">
      <c r="F365" s="36"/>
      <c r="G365" s="46"/>
      <c r="O365" s="36"/>
    </row>
    <row r="366">
      <c r="F366" s="36"/>
      <c r="G366" s="49"/>
      <c r="O366" s="36"/>
    </row>
    <row r="367">
      <c r="F367" s="36"/>
      <c r="G367" s="46"/>
      <c r="O367" s="36"/>
    </row>
    <row r="368">
      <c r="F368" s="36"/>
      <c r="G368" s="46"/>
      <c r="O368" s="36"/>
    </row>
    <row r="369">
      <c r="F369" s="36"/>
      <c r="G369" s="49"/>
      <c r="O369" s="36"/>
    </row>
    <row r="370">
      <c r="F370" s="36"/>
      <c r="G370" s="46"/>
      <c r="O370" s="36"/>
    </row>
    <row r="371">
      <c r="F371" s="36"/>
      <c r="G371" s="46"/>
      <c r="O371" s="36"/>
    </row>
    <row r="372">
      <c r="F372" s="36"/>
      <c r="G372" s="46"/>
      <c r="O372" s="36"/>
    </row>
    <row r="373">
      <c r="F373" s="36"/>
      <c r="G373" s="46"/>
      <c r="O373" s="36"/>
    </row>
    <row r="374">
      <c r="F374" s="36"/>
      <c r="G374" s="46"/>
      <c r="O374" s="36"/>
    </row>
    <row r="375">
      <c r="F375" s="36"/>
      <c r="G375" s="49"/>
      <c r="O375" s="36"/>
    </row>
    <row r="376">
      <c r="F376" s="36"/>
      <c r="G376" s="46"/>
      <c r="O376" s="36"/>
    </row>
    <row r="377">
      <c r="F377" s="36"/>
      <c r="G377" s="49"/>
      <c r="O377" s="36"/>
    </row>
    <row r="378">
      <c r="F378" s="36"/>
      <c r="G378" s="43"/>
      <c r="O378" s="36"/>
    </row>
    <row r="379">
      <c r="F379" s="36"/>
      <c r="G379" s="46"/>
      <c r="O379" s="36"/>
    </row>
    <row r="380">
      <c r="F380" s="36"/>
      <c r="G380" s="49"/>
      <c r="O380" s="36"/>
    </row>
    <row r="381">
      <c r="F381" s="36"/>
      <c r="G381" s="46"/>
      <c r="O381" s="36"/>
    </row>
    <row r="382">
      <c r="F382" s="36"/>
      <c r="G382" s="46"/>
      <c r="O382" s="36"/>
    </row>
    <row r="383">
      <c r="F383" s="36"/>
      <c r="G383" s="46"/>
      <c r="O383" s="36"/>
    </row>
    <row r="384">
      <c r="F384" s="36"/>
      <c r="G384" s="46"/>
      <c r="O384" s="36"/>
    </row>
    <row r="385">
      <c r="F385" s="36"/>
      <c r="G385" s="46"/>
      <c r="O385" s="36"/>
    </row>
    <row r="386">
      <c r="F386" s="36"/>
      <c r="G386" s="46"/>
      <c r="O386" s="36"/>
    </row>
    <row r="387">
      <c r="F387" s="36"/>
      <c r="G387" s="46"/>
      <c r="O387" s="36"/>
    </row>
    <row r="388">
      <c r="F388" s="36"/>
      <c r="G388" s="49"/>
      <c r="O388" s="36"/>
    </row>
    <row r="389">
      <c r="F389" s="36"/>
      <c r="G389" s="46"/>
      <c r="O389" s="36"/>
    </row>
    <row r="390">
      <c r="F390" s="36"/>
      <c r="G390" s="46"/>
      <c r="O390" s="36"/>
    </row>
    <row r="391">
      <c r="F391" s="36"/>
      <c r="G391" s="46"/>
      <c r="O391" s="36"/>
    </row>
    <row r="392">
      <c r="F392" s="36"/>
      <c r="G392" s="46"/>
      <c r="O392" s="36"/>
    </row>
    <row r="393">
      <c r="F393" s="36"/>
      <c r="G393" s="49"/>
      <c r="O393" s="36"/>
    </row>
    <row r="394">
      <c r="F394" s="36"/>
      <c r="G394" s="46"/>
      <c r="O394" s="36"/>
    </row>
    <row r="395">
      <c r="F395" s="36"/>
      <c r="G395" s="46"/>
      <c r="O395" s="36"/>
    </row>
    <row r="396">
      <c r="F396" s="36"/>
      <c r="G396" s="49"/>
      <c r="O396" s="36"/>
    </row>
    <row r="397">
      <c r="F397" s="36"/>
      <c r="G397" s="43"/>
      <c r="O397" s="36"/>
    </row>
    <row r="398">
      <c r="F398" s="36"/>
      <c r="G398" s="46"/>
      <c r="O398" s="36"/>
    </row>
    <row r="399">
      <c r="F399" s="36"/>
      <c r="G399" s="49"/>
      <c r="O399" s="36"/>
    </row>
    <row r="400">
      <c r="F400" s="36"/>
      <c r="G400" s="46"/>
      <c r="O400" s="36"/>
    </row>
    <row r="401">
      <c r="F401" s="36"/>
      <c r="G401" s="49"/>
      <c r="O401" s="36"/>
    </row>
    <row r="402">
      <c r="F402" s="36"/>
      <c r="G402" s="46"/>
      <c r="O402" s="36"/>
    </row>
    <row r="403">
      <c r="F403" s="36"/>
      <c r="G403" s="46"/>
      <c r="O403" s="36"/>
    </row>
    <row r="404">
      <c r="F404" s="36"/>
      <c r="G404" s="46"/>
      <c r="O404" s="36"/>
    </row>
    <row r="405">
      <c r="F405" s="36"/>
      <c r="G405" s="49"/>
      <c r="O405" s="36"/>
    </row>
    <row r="406">
      <c r="F406" s="36"/>
      <c r="G406" s="46"/>
      <c r="O406" s="36"/>
    </row>
    <row r="407">
      <c r="F407" s="36"/>
      <c r="G407" s="49"/>
      <c r="O407" s="36"/>
    </row>
    <row r="408">
      <c r="F408" s="36"/>
      <c r="G408" s="43"/>
      <c r="O408" s="36"/>
    </row>
    <row r="409">
      <c r="F409" s="36"/>
      <c r="G409" s="46"/>
      <c r="O409" s="36"/>
    </row>
    <row r="410">
      <c r="F410" s="36"/>
      <c r="G410" s="46"/>
      <c r="O410" s="36"/>
    </row>
    <row r="411">
      <c r="F411" s="36"/>
      <c r="G411" s="46"/>
      <c r="O411" s="36"/>
    </row>
    <row r="412">
      <c r="F412" s="36"/>
      <c r="G412" s="46"/>
      <c r="O412" s="36"/>
    </row>
    <row r="413">
      <c r="F413" s="36"/>
      <c r="G413" s="46"/>
      <c r="O413" s="36"/>
    </row>
    <row r="414">
      <c r="F414" s="36"/>
      <c r="G414" s="46"/>
      <c r="O414" s="36"/>
    </row>
    <row r="415">
      <c r="F415" s="36"/>
      <c r="G415" s="46"/>
      <c r="O415" s="36"/>
    </row>
    <row r="416">
      <c r="F416" s="36"/>
      <c r="G416" s="46"/>
      <c r="O416" s="36"/>
    </row>
    <row r="417">
      <c r="F417" s="36"/>
      <c r="G417" s="46"/>
      <c r="O417" s="36"/>
    </row>
    <row r="418">
      <c r="F418" s="36"/>
      <c r="G418" s="46"/>
      <c r="O418" s="36"/>
    </row>
    <row r="419">
      <c r="F419" s="36"/>
      <c r="G419" s="49"/>
      <c r="O419" s="36"/>
    </row>
    <row r="420">
      <c r="F420" s="36"/>
      <c r="G420" s="46"/>
      <c r="O420" s="36"/>
    </row>
    <row r="421">
      <c r="F421" s="36"/>
      <c r="G421" s="46"/>
      <c r="O421" s="36"/>
    </row>
    <row r="422">
      <c r="F422" s="36"/>
      <c r="G422" s="46"/>
      <c r="O422" s="36"/>
    </row>
    <row r="423">
      <c r="F423" s="36"/>
      <c r="G423" s="46"/>
      <c r="O423" s="36"/>
    </row>
    <row r="424">
      <c r="F424" s="36"/>
      <c r="G424" s="49"/>
      <c r="O424" s="36"/>
    </row>
    <row r="425">
      <c r="F425" s="36"/>
      <c r="G425" s="46"/>
      <c r="O425" s="36"/>
    </row>
    <row r="426">
      <c r="F426" s="36"/>
      <c r="G426" s="46"/>
      <c r="O426" s="36"/>
    </row>
    <row r="427">
      <c r="F427" s="36"/>
      <c r="G427" s="46"/>
      <c r="O427" s="36"/>
    </row>
    <row r="428">
      <c r="F428" s="36"/>
      <c r="G428" s="46"/>
      <c r="O428" s="36"/>
    </row>
    <row r="429">
      <c r="F429" s="36"/>
      <c r="G429" s="46"/>
      <c r="O429" s="36"/>
    </row>
    <row r="430">
      <c r="F430" s="36"/>
      <c r="G430" s="49"/>
      <c r="O430" s="36"/>
    </row>
    <row r="431">
      <c r="F431" s="36"/>
      <c r="G431" s="46"/>
      <c r="O431" s="36"/>
    </row>
    <row r="432">
      <c r="F432" s="36"/>
      <c r="G432" s="46"/>
      <c r="O432" s="36"/>
    </row>
    <row r="433">
      <c r="F433" s="36"/>
      <c r="G433" s="46"/>
      <c r="O433" s="36"/>
    </row>
    <row r="434">
      <c r="F434" s="36"/>
      <c r="G434" s="46"/>
      <c r="O434" s="36"/>
    </row>
    <row r="435">
      <c r="F435" s="36"/>
      <c r="G435" s="46"/>
      <c r="O435" s="36"/>
    </row>
    <row r="436">
      <c r="F436" s="36"/>
      <c r="G436" s="49"/>
      <c r="O436" s="36"/>
    </row>
    <row r="437">
      <c r="F437" s="36"/>
      <c r="G437" s="46"/>
      <c r="O437" s="36"/>
    </row>
    <row r="438">
      <c r="F438" s="36"/>
      <c r="G438" s="46"/>
      <c r="O438" s="36"/>
    </row>
    <row r="439">
      <c r="F439" s="36"/>
      <c r="G439" s="46"/>
      <c r="O439" s="36"/>
    </row>
    <row r="440">
      <c r="F440" s="36"/>
      <c r="G440" s="46"/>
      <c r="O440" s="36"/>
    </row>
    <row r="441">
      <c r="F441" s="36"/>
      <c r="G441" s="46"/>
      <c r="O441" s="36"/>
    </row>
    <row r="442">
      <c r="F442" s="36"/>
      <c r="G442" s="49"/>
      <c r="O442" s="36"/>
    </row>
    <row r="443">
      <c r="F443" s="36"/>
      <c r="G443" s="46"/>
      <c r="O443" s="36"/>
    </row>
    <row r="444">
      <c r="F444" s="36"/>
      <c r="G444" s="49"/>
      <c r="O444" s="36"/>
    </row>
    <row r="445">
      <c r="F445" s="36"/>
      <c r="G445" s="46"/>
      <c r="O445" s="36"/>
    </row>
    <row r="446">
      <c r="F446" s="36"/>
      <c r="G446" s="46"/>
      <c r="O446" s="36"/>
    </row>
    <row r="447">
      <c r="F447" s="36"/>
      <c r="G447" s="46"/>
      <c r="O447" s="36"/>
    </row>
    <row r="448">
      <c r="F448" s="36"/>
      <c r="G448" s="46"/>
      <c r="O448" s="36"/>
    </row>
    <row r="449">
      <c r="F449" s="36"/>
      <c r="G449" s="46"/>
      <c r="O449" s="36"/>
    </row>
    <row r="450">
      <c r="F450" s="36"/>
      <c r="G450" s="49"/>
      <c r="O450" s="36"/>
    </row>
    <row r="451">
      <c r="F451" s="36"/>
      <c r="G451" s="46"/>
      <c r="O451" s="36"/>
    </row>
    <row r="452">
      <c r="F452" s="36"/>
      <c r="G452" s="46"/>
      <c r="O452" s="36"/>
    </row>
    <row r="453">
      <c r="F453" s="36"/>
      <c r="G453" s="46"/>
      <c r="O453" s="36"/>
    </row>
    <row r="454">
      <c r="F454" s="36"/>
      <c r="G454" s="46"/>
      <c r="O454" s="36"/>
    </row>
    <row r="455">
      <c r="F455" s="36"/>
      <c r="G455" s="49"/>
      <c r="O455" s="36"/>
    </row>
    <row r="456">
      <c r="F456" s="36"/>
      <c r="G456" s="46"/>
      <c r="O456" s="36"/>
    </row>
    <row r="457">
      <c r="F457" s="36"/>
      <c r="G457" s="46"/>
      <c r="O457" s="36"/>
    </row>
    <row r="458">
      <c r="F458" s="36"/>
      <c r="G458" s="46"/>
      <c r="O458" s="36"/>
    </row>
    <row r="459">
      <c r="F459" s="36"/>
      <c r="G459" s="46"/>
      <c r="O459" s="36"/>
    </row>
    <row r="460">
      <c r="F460" s="36"/>
      <c r="G460" s="46"/>
      <c r="O460" s="36"/>
    </row>
    <row r="461">
      <c r="F461" s="36"/>
      <c r="G461" s="46"/>
      <c r="O461" s="36"/>
    </row>
    <row r="462">
      <c r="F462" s="36"/>
      <c r="G462" s="46"/>
      <c r="O462" s="36"/>
    </row>
    <row r="463">
      <c r="F463" s="36"/>
      <c r="G463" s="49"/>
      <c r="O463" s="36"/>
    </row>
    <row r="464">
      <c r="F464" s="36"/>
      <c r="G464" s="46"/>
      <c r="O464" s="36"/>
    </row>
    <row r="465">
      <c r="F465" s="36"/>
      <c r="G465" s="46"/>
      <c r="O465" s="36"/>
    </row>
    <row r="466">
      <c r="F466" s="36"/>
      <c r="G466" s="46"/>
      <c r="O466" s="36"/>
    </row>
    <row r="467">
      <c r="F467" s="36"/>
      <c r="G467" s="46"/>
      <c r="O467" s="36"/>
    </row>
    <row r="468">
      <c r="F468" s="36"/>
      <c r="G468" s="46"/>
      <c r="O468" s="36"/>
    </row>
    <row r="469">
      <c r="F469" s="36"/>
      <c r="G469" s="49"/>
      <c r="O469" s="36"/>
    </row>
    <row r="470">
      <c r="F470" s="36"/>
      <c r="G470" s="43"/>
      <c r="O470" s="36"/>
    </row>
    <row r="471">
      <c r="F471" s="36"/>
      <c r="G471" s="46"/>
      <c r="O471" s="36"/>
    </row>
    <row r="472">
      <c r="F472" s="36"/>
      <c r="G472" s="46"/>
      <c r="O472" s="36"/>
    </row>
    <row r="473">
      <c r="F473" s="36"/>
      <c r="G473" s="46"/>
      <c r="O473" s="36"/>
    </row>
    <row r="474">
      <c r="F474" s="36"/>
      <c r="G474" s="46"/>
      <c r="O474" s="36"/>
    </row>
    <row r="475">
      <c r="F475" s="36"/>
      <c r="G475" s="49"/>
      <c r="O475" s="36"/>
    </row>
    <row r="476">
      <c r="F476" s="36"/>
      <c r="G476" s="46"/>
      <c r="O476" s="36"/>
    </row>
    <row r="477">
      <c r="F477" s="36"/>
      <c r="G477" s="46"/>
      <c r="O477" s="36"/>
    </row>
    <row r="478">
      <c r="F478" s="36"/>
      <c r="G478" s="46"/>
      <c r="O478" s="36"/>
    </row>
    <row r="479">
      <c r="F479" s="36"/>
      <c r="G479" s="46"/>
      <c r="O479" s="36"/>
    </row>
    <row r="480">
      <c r="F480" s="36"/>
      <c r="G480" s="49"/>
      <c r="O480" s="36"/>
    </row>
    <row r="481">
      <c r="F481" s="36"/>
      <c r="G481" s="43"/>
      <c r="O481" s="36"/>
    </row>
    <row r="482">
      <c r="F482" s="36"/>
      <c r="G482" s="46"/>
      <c r="O482" s="36"/>
    </row>
    <row r="483">
      <c r="F483" s="36"/>
      <c r="G483" s="46"/>
      <c r="O483" s="36"/>
    </row>
    <row r="484">
      <c r="F484" s="36"/>
      <c r="G484" s="46"/>
      <c r="O484" s="36"/>
    </row>
    <row r="485">
      <c r="F485" s="36"/>
      <c r="G485" s="46"/>
      <c r="O485" s="36"/>
    </row>
    <row r="486">
      <c r="F486" s="36"/>
      <c r="G486" s="46"/>
      <c r="O486" s="36"/>
    </row>
    <row r="487">
      <c r="F487" s="36"/>
      <c r="G487" s="49"/>
      <c r="O487" s="36"/>
    </row>
    <row r="488">
      <c r="F488" s="36"/>
      <c r="G488" s="46"/>
      <c r="O488" s="36"/>
    </row>
    <row r="489">
      <c r="F489" s="36"/>
      <c r="G489" s="46"/>
      <c r="O489" s="36"/>
    </row>
    <row r="490">
      <c r="F490" s="36"/>
      <c r="G490" s="46"/>
      <c r="O490" s="36"/>
    </row>
    <row r="491">
      <c r="F491" s="36"/>
      <c r="G491" s="46"/>
      <c r="O491" s="36"/>
    </row>
    <row r="492">
      <c r="F492" s="36"/>
      <c r="G492" s="46"/>
      <c r="O492" s="36"/>
    </row>
    <row r="493">
      <c r="F493" s="36"/>
      <c r="G493" s="46"/>
      <c r="O493" s="36"/>
    </row>
    <row r="494">
      <c r="F494" s="36"/>
      <c r="G494" s="49"/>
      <c r="O494" s="36"/>
    </row>
    <row r="495">
      <c r="F495" s="36"/>
      <c r="G495" s="46"/>
      <c r="O495" s="36"/>
    </row>
    <row r="496">
      <c r="F496" s="36"/>
      <c r="G496" s="46"/>
      <c r="O496" s="36"/>
    </row>
    <row r="497">
      <c r="F497" s="36"/>
      <c r="G497" s="46"/>
      <c r="O497" s="36"/>
    </row>
    <row r="498">
      <c r="F498" s="36"/>
      <c r="G498" s="46"/>
      <c r="O498" s="36"/>
    </row>
    <row r="499">
      <c r="F499" s="36"/>
      <c r="G499" s="49"/>
      <c r="O499" s="36"/>
    </row>
    <row r="500">
      <c r="F500" s="36"/>
      <c r="G500" s="46"/>
      <c r="O500" s="36"/>
    </row>
    <row r="501">
      <c r="F501" s="36"/>
      <c r="G501" s="46"/>
      <c r="O501" s="36"/>
    </row>
    <row r="502">
      <c r="F502" s="36"/>
      <c r="G502" s="46"/>
      <c r="O502" s="36"/>
    </row>
    <row r="503">
      <c r="F503" s="36"/>
      <c r="G503" s="46"/>
      <c r="O503" s="36"/>
    </row>
    <row r="504">
      <c r="F504" s="36"/>
      <c r="G504" s="46"/>
      <c r="O504" s="36"/>
    </row>
    <row r="505">
      <c r="F505" s="36"/>
      <c r="G505" s="46"/>
      <c r="O505" s="36"/>
    </row>
    <row r="506">
      <c r="F506" s="36"/>
      <c r="G506" s="46"/>
      <c r="O506" s="36"/>
    </row>
    <row r="507">
      <c r="F507" s="36"/>
      <c r="G507" s="49"/>
      <c r="O507" s="36"/>
    </row>
    <row r="508">
      <c r="F508" s="36"/>
      <c r="G508" s="46"/>
      <c r="O508" s="36"/>
    </row>
    <row r="509">
      <c r="F509" s="36"/>
      <c r="G509" s="46"/>
      <c r="O509" s="36"/>
    </row>
    <row r="510">
      <c r="F510" s="36"/>
      <c r="G510" s="46"/>
      <c r="O510" s="36"/>
    </row>
    <row r="511">
      <c r="F511" s="36"/>
      <c r="G511" s="46"/>
      <c r="O511" s="36"/>
    </row>
    <row r="512">
      <c r="F512" s="36"/>
      <c r="G512" s="46"/>
      <c r="O512" s="36"/>
    </row>
    <row r="513">
      <c r="F513" s="36"/>
      <c r="G513" s="46"/>
      <c r="O513" s="36"/>
    </row>
    <row r="514">
      <c r="F514" s="36"/>
      <c r="G514" s="49"/>
      <c r="O514" s="36"/>
    </row>
    <row r="515">
      <c r="F515" s="36"/>
      <c r="G515" s="46"/>
      <c r="O515" s="36"/>
    </row>
    <row r="516">
      <c r="F516" s="36"/>
      <c r="G516" s="46"/>
      <c r="O516" s="36"/>
    </row>
    <row r="517">
      <c r="F517" s="36"/>
      <c r="G517" s="46"/>
      <c r="O517" s="36"/>
    </row>
    <row r="518">
      <c r="F518" s="36"/>
      <c r="G518" s="46"/>
      <c r="O518" s="36"/>
    </row>
    <row r="519">
      <c r="F519" s="36"/>
      <c r="G519" s="46"/>
      <c r="O519" s="36"/>
    </row>
    <row r="520">
      <c r="F520" s="36"/>
      <c r="G520" s="49"/>
      <c r="O520" s="36"/>
    </row>
    <row r="521">
      <c r="F521" s="36"/>
      <c r="G521" s="46"/>
      <c r="O521" s="36"/>
    </row>
    <row r="522">
      <c r="F522" s="36"/>
      <c r="G522" s="46"/>
      <c r="O522" s="36"/>
    </row>
    <row r="523">
      <c r="F523" s="36"/>
      <c r="G523" s="46"/>
      <c r="O523" s="36"/>
    </row>
    <row r="524">
      <c r="F524" s="36"/>
      <c r="G524" s="49"/>
      <c r="O524" s="36"/>
    </row>
    <row r="525">
      <c r="F525" s="36"/>
      <c r="G525" s="46"/>
      <c r="O525" s="36"/>
    </row>
    <row r="526">
      <c r="F526" s="36"/>
      <c r="G526" s="46"/>
      <c r="O526" s="36"/>
    </row>
    <row r="527">
      <c r="F527" s="36"/>
      <c r="G527" s="49"/>
      <c r="O527" s="36"/>
    </row>
    <row r="528">
      <c r="F528" s="36"/>
      <c r="G528" s="46"/>
      <c r="O528" s="36"/>
    </row>
    <row r="529">
      <c r="F529" s="36"/>
      <c r="G529" s="46"/>
      <c r="O529" s="36"/>
    </row>
    <row r="530">
      <c r="F530" s="36"/>
      <c r="G530" s="49"/>
      <c r="O530" s="36"/>
    </row>
    <row r="531">
      <c r="F531" s="36"/>
      <c r="G531" s="46"/>
      <c r="O531" s="36"/>
    </row>
    <row r="532">
      <c r="F532" s="36"/>
      <c r="G532" s="46"/>
      <c r="O532" s="36"/>
    </row>
    <row r="533">
      <c r="F533" s="36"/>
      <c r="G533" s="46"/>
      <c r="O533" s="36"/>
    </row>
    <row r="534">
      <c r="F534" s="36"/>
      <c r="G534" s="46"/>
      <c r="O534" s="36"/>
    </row>
    <row r="535">
      <c r="F535" s="36"/>
      <c r="G535" s="49"/>
      <c r="O535" s="36"/>
    </row>
    <row r="536">
      <c r="F536" s="36"/>
      <c r="G536" s="46"/>
      <c r="O536" s="36"/>
    </row>
    <row r="537">
      <c r="F537" s="36"/>
      <c r="G537" s="46"/>
      <c r="O537" s="36"/>
    </row>
    <row r="538">
      <c r="F538" s="36"/>
      <c r="G538" s="46"/>
      <c r="O538" s="36"/>
    </row>
    <row r="539">
      <c r="F539" s="36"/>
      <c r="G539" s="46"/>
      <c r="O539" s="36"/>
    </row>
    <row r="540">
      <c r="F540" s="36"/>
      <c r="G540" s="49"/>
      <c r="O540" s="36"/>
    </row>
    <row r="541">
      <c r="F541" s="36"/>
      <c r="G541" s="43"/>
      <c r="O541" s="36"/>
    </row>
    <row r="542">
      <c r="F542" s="36"/>
      <c r="G542" s="46"/>
      <c r="O542" s="36"/>
    </row>
    <row r="543">
      <c r="F543" s="36"/>
      <c r="G543" s="46"/>
      <c r="O543" s="36"/>
    </row>
    <row r="544">
      <c r="F544" s="36"/>
      <c r="G544" s="46"/>
      <c r="O544" s="36"/>
    </row>
    <row r="545">
      <c r="F545" s="36"/>
      <c r="G545" s="46"/>
      <c r="O545" s="36"/>
    </row>
    <row r="546">
      <c r="F546" s="36"/>
      <c r="G546" s="46"/>
      <c r="O546" s="36"/>
    </row>
    <row r="547">
      <c r="F547" s="36"/>
      <c r="G547" s="46"/>
      <c r="O547" s="36"/>
    </row>
    <row r="548">
      <c r="F548" s="36"/>
      <c r="G548" s="46"/>
      <c r="O548" s="36"/>
    </row>
    <row r="549">
      <c r="F549" s="36"/>
      <c r="G549" s="49"/>
      <c r="O549" s="36"/>
    </row>
    <row r="550">
      <c r="F550" s="36"/>
      <c r="G550" s="46"/>
      <c r="O550" s="36"/>
    </row>
    <row r="551">
      <c r="F551" s="36"/>
      <c r="G551" s="46"/>
      <c r="O551" s="36"/>
    </row>
    <row r="552">
      <c r="F552" s="36"/>
      <c r="G552" s="46"/>
      <c r="O552" s="36"/>
    </row>
    <row r="553">
      <c r="F553" s="36"/>
      <c r="G553" s="46"/>
      <c r="O553" s="36"/>
    </row>
    <row r="554">
      <c r="F554" s="36"/>
      <c r="G554" s="46"/>
      <c r="O554" s="36"/>
    </row>
    <row r="555">
      <c r="F555" s="36"/>
      <c r="G555" s="49"/>
      <c r="O555" s="36"/>
    </row>
    <row r="556">
      <c r="F556" s="36"/>
      <c r="G556" s="43"/>
      <c r="O556" s="36"/>
    </row>
    <row r="557">
      <c r="F557" s="36"/>
      <c r="G557" s="46"/>
      <c r="O557" s="36"/>
    </row>
    <row r="558">
      <c r="F558" s="36"/>
      <c r="G558" s="46"/>
      <c r="O558" s="36"/>
    </row>
    <row r="559">
      <c r="F559" s="36"/>
      <c r="G559" s="46"/>
      <c r="O559" s="36"/>
    </row>
    <row r="560">
      <c r="F560" s="36"/>
      <c r="G560" s="46"/>
      <c r="O560" s="36"/>
    </row>
    <row r="561">
      <c r="F561" s="36"/>
      <c r="G561" s="46"/>
      <c r="O561" s="36"/>
    </row>
    <row r="562">
      <c r="F562" s="36"/>
      <c r="G562" s="49"/>
      <c r="O562" s="36"/>
    </row>
    <row r="563">
      <c r="F563" s="36"/>
      <c r="G563" s="43"/>
      <c r="O563" s="36"/>
    </row>
    <row r="564">
      <c r="F564" s="36"/>
      <c r="G564" s="46"/>
      <c r="O564" s="36"/>
    </row>
    <row r="565">
      <c r="F565" s="36"/>
      <c r="G565" s="46"/>
      <c r="O565" s="36"/>
    </row>
    <row r="566">
      <c r="F566" s="36"/>
      <c r="G566" s="46"/>
      <c r="O566" s="36"/>
    </row>
    <row r="567">
      <c r="F567" s="36"/>
      <c r="G567" s="46"/>
      <c r="O567" s="36"/>
    </row>
    <row r="568">
      <c r="F568" s="36"/>
      <c r="G568" s="46"/>
      <c r="O568" s="36"/>
    </row>
    <row r="569">
      <c r="F569" s="36"/>
      <c r="G569" s="46"/>
      <c r="O569" s="36"/>
    </row>
    <row r="570">
      <c r="F570" s="36"/>
      <c r="G570" s="46"/>
      <c r="O570" s="36"/>
    </row>
    <row r="571">
      <c r="F571" s="36"/>
      <c r="G571" s="46"/>
      <c r="O571" s="36"/>
    </row>
    <row r="572">
      <c r="F572" s="36"/>
      <c r="G572" s="46"/>
      <c r="O572" s="36"/>
    </row>
    <row r="573">
      <c r="F573" s="36"/>
      <c r="G573" s="46"/>
      <c r="O573" s="36"/>
    </row>
    <row r="574">
      <c r="F574" s="36"/>
      <c r="G574" s="46"/>
      <c r="O574" s="36"/>
    </row>
    <row r="575">
      <c r="F575" s="36"/>
      <c r="G575" s="46"/>
      <c r="O575" s="36"/>
    </row>
    <row r="576">
      <c r="F576" s="36"/>
      <c r="G576" s="46"/>
      <c r="O576" s="36"/>
    </row>
    <row r="577">
      <c r="F577" s="36"/>
      <c r="G577" s="49"/>
      <c r="O577" s="36"/>
    </row>
    <row r="578">
      <c r="F578" s="36"/>
      <c r="G578" s="43"/>
      <c r="O578" s="36"/>
    </row>
    <row r="579">
      <c r="F579" s="36"/>
      <c r="G579" s="46"/>
      <c r="O579" s="36"/>
    </row>
    <row r="580">
      <c r="F580" s="36"/>
      <c r="G580" s="46"/>
      <c r="O580" s="36"/>
    </row>
    <row r="581">
      <c r="F581" s="36"/>
      <c r="G581" s="46"/>
      <c r="O581" s="36"/>
    </row>
    <row r="582">
      <c r="F582" s="36"/>
      <c r="G582" s="46"/>
      <c r="O582" s="36"/>
    </row>
    <row r="583">
      <c r="F583" s="36"/>
      <c r="G583" s="46"/>
      <c r="O583" s="36"/>
    </row>
    <row r="584">
      <c r="F584" s="36"/>
      <c r="G584" s="46"/>
      <c r="O584" s="36"/>
    </row>
    <row r="585">
      <c r="F585" s="36"/>
      <c r="G585" s="49"/>
      <c r="O585" s="36"/>
    </row>
    <row r="586">
      <c r="F586" s="36"/>
      <c r="G586" s="43"/>
      <c r="O586" s="36"/>
    </row>
    <row r="587">
      <c r="F587" s="36"/>
      <c r="G587" s="46"/>
      <c r="O587" s="36"/>
    </row>
    <row r="588">
      <c r="F588" s="36"/>
      <c r="G588" s="46"/>
      <c r="O588" s="36"/>
    </row>
    <row r="589">
      <c r="F589" s="36"/>
      <c r="G589" s="46"/>
      <c r="O589" s="36"/>
    </row>
    <row r="590">
      <c r="F590" s="36"/>
      <c r="G590" s="46"/>
      <c r="O590" s="36"/>
    </row>
    <row r="591">
      <c r="F591" s="36"/>
      <c r="G591" s="46"/>
      <c r="O591" s="36"/>
    </row>
    <row r="592">
      <c r="F592" s="36"/>
      <c r="G592" s="46"/>
      <c r="O592" s="36"/>
    </row>
    <row r="593">
      <c r="F593" s="36"/>
      <c r="G593" s="46"/>
      <c r="O593" s="36"/>
    </row>
    <row r="594">
      <c r="F594" s="36"/>
      <c r="G594" s="46"/>
      <c r="O594" s="36"/>
    </row>
    <row r="595">
      <c r="F595" s="36"/>
      <c r="G595" s="46"/>
      <c r="O595" s="36"/>
    </row>
    <row r="596">
      <c r="F596" s="36"/>
      <c r="G596" s="46"/>
      <c r="O596" s="36"/>
    </row>
    <row r="597">
      <c r="F597" s="36"/>
      <c r="G597" s="46"/>
      <c r="O597" s="36"/>
    </row>
    <row r="598">
      <c r="F598" s="36"/>
      <c r="G598" s="46"/>
      <c r="O598" s="36"/>
    </row>
    <row r="599">
      <c r="F599" s="36"/>
      <c r="G599" s="49"/>
      <c r="O599" s="36"/>
    </row>
    <row r="600">
      <c r="F600" s="36"/>
      <c r="G600" s="43"/>
      <c r="O600" s="36"/>
    </row>
    <row r="601">
      <c r="F601" s="36"/>
      <c r="G601" s="46"/>
      <c r="O601" s="36"/>
    </row>
    <row r="602">
      <c r="F602" s="36"/>
      <c r="G602" s="49"/>
      <c r="O602" s="36"/>
    </row>
    <row r="603">
      <c r="F603" s="36"/>
      <c r="G603" s="46"/>
      <c r="O603" s="36"/>
    </row>
    <row r="604">
      <c r="F604" s="36"/>
      <c r="G604" s="46"/>
      <c r="O604" s="36"/>
    </row>
    <row r="605">
      <c r="F605" s="36"/>
      <c r="G605" s="46"/>
      <c r="O605" s="36"/>
    </row>
    <row r="606">
      <c r="F606" s="36"/>
      <c r="G606" s="46"/>
      <c r="O606" s="36"/>
    </row>
    <row r="607">
      <c r="F607" s="36"/>
      <c r="G607" s="46"/>
      <c r="O607" s="36"/>
    </row>
    <row r="608">
      <c r="F608" s="36"/>
      <c r="G608" s="46"/>
      <c r="O608" s="36"/>
    </row>
    <row r="609">
      <c r="F609" s="36"/>
      <c r="G609" s="46"/>
      <c r="O609" s="36"/>
    </row>
    <row r="610">
      <c r="F610" s="36"/>
      <c r="G610" s="46"/>
      <c r="O610" s="36"/>
    </row>
    <row r="611">
      <c r="F611" s="36"/>
      <c r="G611" s="46"/>
      <c r="O611" s="36"/>
    </row>
    <row r="612">
      <c r="F612" s="36"/>
      <c r="G612" s="49"/>
      <c r="O612" s="36"/>
    </row>
    <row r="613">
      <c r="F613" s="36"/>
      <c r="G613" s="43"/>
      <c r="O613" s="36"/>
    </row>
    <row r="614">
      <c r="F614" s="36"/>
      <c r="G614" s="46"/>
      <c r="O614" s="36"/>
    </row>
    <row r="615">
      <c r="F615" s="36"/>
      <c r="G615" s="46"/>
      <c r="O615" s="36"/>
    </row>
    <row r="616">
      <c r="F616" s="36"/>
      <c r="G616" s="46"/>
      <c r="O616" s="36"/>
    </row>
    <row r="617">
      <c r="F617" s="36"/>
      <c r="G617" s="46"/>
      <c r="O617" s="36"/>
    </row>
    <row r="618">
      <c r="F618" s="36"/>
      <c r="G618" s="46"/>
      <c r="O618" s="36"/>
    </row>
    <row r="619">
      <c r="F619" s="36"/>
      <c r="G619" s="46"/>
      <c r="O619" s="36"/>
    </row>
    <row r="620">
      <c r="F620" s="36"/>
      <c r="G620" s="46"/>
      <c r="O620" s="36"/>
    </row>
    <row r="621">
      <c r="F621" s="36"/>
      <c r="G621" s="46"/>
      <c r="O621" s="36"/>
    </row>
    <row r="622">
      <c r="F622" s="36"/>
      <c r="G622" s="46"/>
      <c r="O622" s="36"/>
    </row>
    <row r="623">
      <c r="F623" s="36"/>
      <c r="G623" s="46"/>
      <c r="O623" s="36"/>
    </row>
    <row r="624">
      <c r="F624" s="36"/>
      <c r="G624" s="46"/>
      <c r="O624" s="36"/>
    </row>
    <row r="625">
      <c r="F625" s="36"/>
      <c r="G625" s="46"/>
      <c r="O625" s="36"/>
    </row>
    <row r="626">
      <c r="F626" s="36"/>
      <c r="G626" s="49"/>
      <c r="O626" s="36"/>
    </row>
    <row r="627">
      <c r="F627" s="36"/>
      <c r="G627" s="43"/>
      <c r="O627" s="36"/>
    </row>
    <row r="628">
      <c r="F628" s="36"/>
      <c r="G628" s="46"/>
      <c r="O628" s="36"/>
    </row>
    <row r="629">
      <c r="F629" s="36"/>
      <c r="G629" s="46"/>
      <c r="O629" s="36"/>
    </row>
    <row r="630">
      <c r="F630" s="36"/>
      <c r="G630" s="46"/>
      <c r="O630" s="36"/>
    </row>
    <row r="631">
      <c r="F631" s="36"/>
      <c r="G631" s="46"/>
      <c r="O631" s="36"/>
    </row>
    <row r="632">
      <c r="F632" s="36"/>
      <c r="G632" s="46"/>
      <c r="O632" s="36"/>
    </row>
    <row r="633">
      <c r="F633" s="36"/>
      <c r="G633" s="46"/>
      <c r="O633" s="36"/>
    </row>
    <row r="634">
      <c r="F634" s="36"/>
      <c r="G634" s="46"/>
      <c r="O634" s="36"/>
    </row>
    <row r="635">
      <c r="F635" s="36"/>
      <c r="G635" s="46"/>
      <c r="O635" s="36"/>
    </row>
    <row r="636">
      <c r="F636" s="36"/>
      <c r="G636" s="49"/>
      <c r="O636" s="36"/>
    </row>
    <row r="637">
      <c r="F637" s="36"/>
      <c r="G637" s="43"/>
      <c r="O637" s="36"/>
    </row>
    <row r="638">
      <c r="F638" s="36"/>
      <c r="G638" s="46"/>
      <c r="O638" s="36"/>
    </row>
    <row r="639">
      <c r="F639" s="36"/>
      <c r="G639" s="46"/>
      <c r="O639" s="36"/>
    </row>
    <row r="640">
      <c r="F640" s="36"/>
      <c r="G640" s="46"/>
      <c r="O640" s="36"/>
    </row>
    <row r="641">
      <c r="F641" s="36"/>
      <c r="G641" s="46"/>
      <c r="O641" s="36"/>
    </row>
    <row r="642">
      <c r="F642" s="36"/>
      <c r="G642" s="46"/>
      <c r="O642" s="36"/>
    </row>
    <row r="643">
      <c r="F643" s="36"/>
      <c r="G643" s="46"/>
      <c r="O643" s="36"/>
    </row>
    <row r="644">
      <c r="F644" s="36"/>
      <c r="G644" s="46"/>
      <c r="O644" s="36"/>
    </row>
    <row r="645">
      <c r="F645" s="36"/>
      <c r="G645" s="46"/>
      <c r="O645" s="36"/>
    </row>
    <row r="646">
      <c r="F646" s="36"/>
      <c r="G646" s="46"/>
      <c r="O646" s="36"/>
    </row>
    <row r="647">
      <c r="F647" s="36"/>
      <c r="G647" s="46"/>
      <c r="O647" s="36"/>
    </row>
    <row r="648">
      <c r="F648" s="36"/>
      <c r="G648" s="46"/>
      <c r="O648" s="36"/>
    </row>
    <row r="649">
      <c r="F649" s="36"/>
      <c r="G649" s="46"/>
      <c r="O649" s="36"/>
    </row>
    <row r="650">
      <c r="F650" s="36"/>
      <c r="G650" s="42"/>
      <c r="O650" s="36"/>
    </row>
    <row r="651">
      <c r="F651" s="36"/>
      <c r="G651" s="42"/>
      <c r="O651" s="36"/>
    </row>
    <row r="652">
      <c r="F652" s="36"/>
      <c r="G652" s="50"/>
      <c r="O652" s="36"/>
    </row>
    <row r="653">
      <c r="F653" s="36"/>
      <c r="G653" s="42"/>
      <c r="O653" s="36"/>
    </row>
    <row r="654">
      <c r="F654" s="36"/>
      <c r="G654" s="50"/>
      <c r="O654" s="36"/>
    </row>
    <row r="655">
      <c r="F655" s="36"/>
      <c r="G655" s="51"/>
      <c r="O655" s="36"/>
    </row>
    <row r="656">
      <c r="F656" s="36"/>
      <c r="G656" s="42"/>
      <c r="O656" s="36"/>
    </row>
    <row r="657">
      <c r="F657" s="36"/>
      <c r="G657" s="42"/>
      <c r="O657" s="36"/>
    </row>
    <row r="658">
      <c r="F658" s="36"/>
      <c r="G658" s="42"/>
      <c r="O658" s="36"/>
    </row>
    <row r="659">
      <c r="F659" s="36"/>
      <c r="G659" s="42"/>
      <c r="O659" s="36"/>
    </row>
    <row r="660">
      <c r="F660" s="36"/>
      <c r="G660" s="42"/>
      <c r="O660" s="36"/>
    </row>
    <row r="661">
      <c r="F661" s="36"/>
      <c r="G661" s="42"/>
      <c r="O661" s="36"/>
    </row>
    <row r="662">
      <c r="F662" s="36"/>
      <c r="G662" s="42"/>
      <c r="O662" s="36"/>
    </row>
    <row r="663">
      <c r="F663" s="36"/>
      <c r="G663" s="42"/>
      <c r="O663" s="36"/>
    </row>
    <row r="664">
      <c r="F664" s="36"/>
      <c r="G664" s="42"/>
      <c r="O664" s="36"/>
    </row>
    <row r="665">
      <c r="F665" s="36"/>
      <c r="G665" s="42"/>
      <c r="O665" s="36"/>
    </row>
    <row r="666">
      <c r="F666" s="36"/>
      <c r="G666" s="42"/>
      <c r="O666" s="36"/>
    </row>
    <row r="667">
      <c r="F667" s="36"/>
      <c r="G667" s="42"/>
      <c r="O667" s="36"/>
    </row>
    <row r="668">
      <c r="F668" s="36"/>
      <c r="G668" s="42"/>
      <c r="O668" s="36"/>
    </row>
    <row r="669">
      <c r="F669" s="36"/>
      <c r="G669" s="42"/>
      <c r="O669" s="36"/>
    </row>
    <row r="670">
      <c r="F670" s="36"/>
      <c r="G670" s="42"/>
      <c r="O670" s="36"/>
    </row>
    <row r="671">
      <c r="F671" s="36"/>
      <c r="G671" s="42"/>
      <c r="O671" s="36"/>
    </row>
    <row r="672">
      <c r="F672" s="36"/>
      <c r="G672" s="50"/>
      <c r="O672" s="36"/>
    </row>
    <row r="673">
      <c r="F673" s="36"/>
      <c r="G673" s="42"/>
      <c r="O673" s="36"/>
    </row>
    <row r="674">
      <c r="F674" s="36"/>
      <c r="G674" s="50"/>
      <c r="O674" s="36"/>
    </row>
    <row r="675">
      <c r="F675" s="36"/>
      <c r="G675" s="51"/>
      <c r="O675" s="36"/>
    </row>
    <row r="676">
      <c r="F676" s="36"/>
      <c r="G676" s="42"/>
      <c r="O676" s="36"/>
    </row>
    <row r="677">
      <c r="F677" s="36"/>
      <c r="G677" s="42"/>
      <c r="O677" s="36"/>
    </row>
    <row r="678">
      <c r="F678" s="36"/>
      <c r="G678" s="42"/>
      <c r="O678" s="36"/>
    </row>
    <row r="679">
      <c r="F679" s="36"/>
      <c r="G679" s="42"/>
      <c r="O679" s="36"/>
    </row>
    <row r="680">
      <c r="F680" s="36"/>
      <c r="G680" s="42"/>
      <c r="O680" s="36"/>
    </row>
    <row r="681">
      <c r="F681" s="36"/>
      <c r="G681" s="42"/>
      <c r="O681" s="36"/>
    </row>
    <row r="682">
      <c r="F682" s="36"/>
      <c r="G682" s="42"/>
      <c r="O682" s="36"/>
    </row>
    <row r="683">
      <c r="F683" s="36"/>
      <c r="G683" s="42"/>
      <c r="O683" s="36"/>
    </row>
    <row r="684">
      <c r="F684" s="36"/>
      <c r="G684" s="42"/>
      <c r="O684" s="36"/>
    </row>
    <row r="685">
      <c r="F685" s="36"/>
      <c r="G685" s="42"/>
      <c r="O685" s="36"/>
    </row>
    <row r="686">
      <c r="F686" s="36"/>
      <c r="G686" s="42"/>
      <c r="O686" s="36"/>
    </row>
    <row r="687">
      <c r="F687" s="36"/>
      <c r="G687" s="42"/>
      <c r="O687" s="36"/>
    </row>
    <row r="688">
      <c r="F688" s="36"/>
      <c r="G688" s="42"/>
      <c r="O688" s="36"/>
    </row>
    <row r="689">
      <c r="F689" s="36"/>
      <c r="G689" s="46"/>
      <c r="O689" s="36"/>
    </row>
    <row r="690">
      <c r="F690" s="36"/>
      <c r="G690" s="46"/>
      <c r="O690" s="36"/>
    </row>
    <row r="691">
      <c r="F691" s="36"/>
      <c r="G691" s="46"/>
      <c r="O691" s="36"/>
    </row>
    <row r="692">
      <c r="F692" s="36"/>
      <c r="G692" s="42"/>
      <c r="O692" s="36"/>
    </row>
    <row r="693">
      <c r="F693" s="36"/>
      <c r="G693" s="42"/>
      <c r="O693" s="36"/>
    </row>
    <row r="694">
      <c r="F694" s="36"/>
      <c r="G694" s="42"/>
      <c r="O694" s="36"/>
    </row>
    <row r="695">
      <c r="F695" s="36"/>
      <c r="G695" s="42"/>
      <c r="O695" s="36"/>
    </row>
    <row r="696">
      <c r="F696" s="36"/>
      <c r="G696" s="42"/>
      <c r="O696" s="36"/>
    </row>
    <row r="697">
      <c r="F697" s="36"/>
      <c r="G697" s="50"/>
      <c r="O697" s="36"/>
    </row>
    <row r="698">
      <c r="F698" s="36"/>
      <c r="G698" s="51"/>
      <c r="O698" s="36"/>
    </row>
    <row r="699">
      <c r="F699" s="36"/>
      <c r="G699" s="42"/>
      <c r="O699" s="36"/>
    </row>
    <row r="700">
      <c r="F700" s="36"/>
      <c r="G700" s="50"/>
      <c r="O700" s="36"/>
    </row>
    <row r="701">
      <c r="F701" s="36"/>
      <c r="G701" s="51"/>
      <c r="O701" s="36"/>
    </row>
    <row r="702">
      <c r="F702" s="36"/>
      <c r="G702" s="42"/>
      <c r="O702" s="36"/>
    </row>
    <row r="703">
      <c r="F703" s="36"/>
      <c r="G703" s="42"/>
      <c r="O703" s="36"/>
    </row>
    <row r="704">
      <c r="F704" s="36"/>
      <c r="G704" s="42"/>
      <c r="O704" s="36"/>
    </row>
    <row r="705">
      <c r="F705" s="36"/>
      <c r="G705" s="42"/>
      <c r="O705" s="36"/>
    </row>
    <row r="706">
      <c r="F706" s="36"/>
      <c r="G706" s="42"/>
      <c r="O706" s="36"/>
    </row>
    <row r="707">
      <c r="F707" s="36"/>
      <c r="G707" s="42"/>
      <c r="O707" s="36"/>
    </row>
    <row r="708">
      <c r="F708" s="36"/>
      <c r="G708" s="42"/>
      <c r="O708" s="36"/>
    </row>
    <row r="709">
      <c r="F709" s="36"/>
      <c r="G709" s="42"/>
      <c r="O709" s="36"/>
    </row>
    <row r="710">
      <c r="F710" s="36"/>
      <c r="G710" s="42"/>
      <c r="O710" s="36"/>
    </row>
    <row r="711">
      <c r="F711" s="36"/>
      <c r="G711" s="42"/>
      <c r="O711" s="36"/>
    </row>
    <row r="712">
      <c r="F712" s="36"/>
      <c r="G712" s="42"/>
      <c r="O712" s="36"/>
    </row>
    <row r="713">
      <c r="F713" s="36"/>
      <c r="G713" s="42"/>
      <c r="O713" s="36"/>
    </row>
    <row r="714">
      <c r="F714" s="36"/>
      <c r="G714" s="42"/>
      <c r="O714" s="36"/>
    </row>
    <row r="715">
      <c r="F715" s="36"/>
      <c r="G715" s="42"/>
      <c r="O715" s="36"/>
    </row>
    <row r="716">
      <c r="F716" s="36"/>
      <c r="G716" s="42"/>
      <c r="O716" s="36"/>
    </row>
    <row r="717">
      <c r="F717" s="36"/>
      <c r="G717" s="42"/>
      <c r="O717" s="36"/>
    </row>
    <row r="718">
      <c r="F718" s="36"/>
      <c r="G718" s="42"/>
      <c r="O718" s="36"/>
    </row>
    <row r="719">
      <c r="F719" s="36"/>
      <c r="G719" s="42"/>
      <c r="O719" s="36"/>
    </row>
    <row r="720">
      <c r="F720" s="36"/>
      <c r="G720" s="42"/>
      <c r="O720" s="36"/>
    </row>
    <row r="721">
      <c r="F721" s="36"/>
      <c r="G721" s="42"/>
      <c r="O721" s="36"/>
    </row>
    <row r="722">
      <c r="F722" s="36"/>
      <c r="G722" s="42"/>
      <c r="O722" s="36"/>
    </row>
    <row r="723">
      <c r="F723" s="36"/>
      <c r="G723" s="42"/>
      <c r="O723" s="36"/>
    </row>
    <row r="724">
      <c r="F724" s="36"/>
      <c r="G724" s="42"/>
      <c r="O724" s="36"/>
    </row>
    <row r="725">
      <c r="F725" s="36"/>
      <c r="G725" s="50"/>
      <c r="O725" s="36"/>
    </row>
    <row r="726">
      <c r="F726" s="36"/>
      <c r="G726" s="51"/>
      <c r="O726" s="36"/>
    </row>
    <row r="727">
      <c r="F727" s="36"/>
      <c r="G727" s="42"/>
      <c r="O727" s="36"/>
    </row>
    <row r="728">
      <c r="F728" s="36"/>
      <c r="G728" s="42"/>
      <c r="O728" s="36"/>
    </row>
    <row r="729">
      <c r="F729" s="36"/>
      <c r="G729" s="52"/>
      <c r="O729" s="36"/>
    </row>
    <row r="730">
      <c r="F730" s="36"/>
      <c r="G730" s="42"/>
      <c r="O730" s="36"/>
    </row>
    <row r="731">
      <c r="F731" s="36"/>
      <c r="G731" s="42"/>
      <c r="O731" s="36"/>
    </row>
    <row r="732">
      <c r="F732" s="36"/>
      <c r="G732" s="42"/>
      <c r="O732" s="36"/>
    </row>
    <row r="733">
      <c r="F733" s="36"/>
      <c r="G733" s="42"/>
      <c r="O733" s="36"/>
    </row>
    <row r="734">
      <c r="F734" s="36"/>
      <c r="G734" s="50"/>
      <c r="O734" s="36"/>
    </row>
    <row r="735">
      <c r="F735" s="36"/>
      <c r="G735" s="53"/>
      <c r="O735" s="36"/>
    </row>
    <row r="736">
      <c r="F736" s="36"/>
      <c r="G736" s="52"/>
      <c r="O736" s="36"/>
    </row>
    <row r="737">
      <c r="F737" s="36"/>
      <c r="G737" s="52"/>
      <c r="O737" s="36"/>
    </row>
    <row r="738">
      <c r="F738" s="36"/>
      <c r="G738" s="52"/>
      <c r="O738" s="36"/>
    </row>
    <row r="739">
      <c r="F739" s="36"/>
      <c r="G739" s="52"/>
      <c r="O739" s="36"/>
    </row>
    <row r="740">
      <c r="F740" s="36"/>
      <c r="G740" s="52"/>
      <c r="O740" s="36"/>
    </row>
    <row r="741">
      <c r="F741" s="36"/>
      <c r="G741" s="52"/>
      <c r="O741" s="36"/>
    </row>
    <row r="742">
      <c r="F742" s="36"/>
      <c r="G742" s="54"/>
      <c r="O742" s="36"/>
    </row>
    <row r="743">
      <c r="F743" s="36"/>
      <c r="G743" s="42"/>
      <c r="O743" s="36"/>
    </row>
    <row r="744">
      <c r="F744" s="36"/>
      <c r="G744" s="50"/>
      <c r="O744" s="36"/>
    </row>
    <row r="745">
      <c r="F745" s="36"/>
      <c r="G745" s="42"/>
      <c r="O745" s="36"/>
    </row>
    <row r="746">
      <c r="F746" s="36"/>
      <c r="G746" s="52"/>
      <c r="O746" s="36"/>
    </row>
    <row r="747">
      <c r="F747" s="36"/>
      <c r="G747" s="42"/>
      <c r="O747" s="36"/>
    </row>
    <row r="748">
      <c r="F748" s="36"/>
      <c r="G748" s="42"/>
      <c r="O748" s="36"/>
    </row>
    <row r="749">
      <c r="F749" s="36"/>
      <c r="G749" s="42"/>
      <c r="O749" s="36"/>
    </row>
    <row r="750">
      <c r="F750" s="36"/>
      <c r="G750" s="42"/>
      <c r="O750" s="36"/>
    </row>
    <row r="751">
      <c r="F751" s="36"/>
      <c r="G751" s="42"/>
      <c r="O751" s="36"/>
    </row>
    <row r="752">
      <c r="F752" s="36"/>
      <c r="G752" s="42"/>
      <c r="O752" s="36"/>
    </row>
    <row r="753">
      <c r="F753" s="36"/>
      <c r="G753" s="50"/>
      <c r="O753" s="36"/>
    </row>
    <row r="754">
      <c r="F754" s="36"/>
      <c r="G754" s="42"/>
      <c r="O754" s="36"/>
    </row>
    <row r="755">
      <c r="F755" s="36"/>
      <c r="G755" s="42"/>
      <c r="O755" s="36"/>
    </row>
    <row r="756">
      <c r="F756" s="36"/>
      <c r="G756" s="42"/>
      <c r="O756" s="36"/>
    </row>
    <row r="757">
      <c r="F757" s="36"/>
      <c r="G757" s="42"/>
      <c r="O757" s="36"/>
    </row>
    <row r="758">
      <c r="F758" s="36"/>
      <c r="G758" s="42"/>
      <c r="O758" s="36"/>
    </row>
    <row r="759">
      <c r="F759" s="36"/>
      <c r="G759" s="42"/>
      <c r="O759" s="36"/>
    </row>
    <row r="760">
      <c r="F760" s="36"/>
      <c r="G760" s="42"/>
      <c r="O760" s="36"/>
    </row>
    <row r="761">
      <c r="F761" s="36"/>
      <c r="G761" s="42"/>
      <c r="O761" s="36"/>
    </row>
    <row r="762">
      <c r="F762" s="36"/>
      <c r="G762" s="42"/>
      <c r="O762" s="36"/>
    </row>
    <row r="763">
      <c r="F763" s="36"/>
      <c r="G763" s="42"/>
      <c r="O763" s="36"/>
    </row>
    <row r="764">
      <c r="F764" s="36"/>
      <c r="G764" s="50"/>
      <c r="O764" s="36"/>
    </row>
    <row r="765">
      <c r="F765" s="36"/>
      <c r="G765" s="51"/>
      <c r="O765" s="36"/>
    </row>
    <row r="766">
      <c r="F766" s="36"/>
      <c r="G766" s="42"/>
      <c r="O766" s="36"/>
    </row>
    <row r="767">
      <c r="F767" s="36"/>
      <c r="G767" s="50"/>
      <c r="O767" s="36"/>
    </row>
    <row r="768">
      <c r="F768" s="36"/>
      <c r="G768" s="42"/>
      <c r="O768" s="36"/>
    </row>
    <row r="769">
      <c r="F769" s="36"/>
      <c r="G769" s="42"/>
      <c r="O769" s="36"/>
    </row>
    <row r="770">
      <c r="F770" s="36"/>
      <c r="G770" s="42"/>
      <c r="O770" s="36"/>
    </row>
    <row r="771">
      <c r="F771" s="36"/>
      <c r="G771" s="42"/>
      <c r="O771" s="36"/>
    </row>
    <row r="772">
      <c r="F772" s="36"/>
      <c r="G772" s="42"/>
      <c r="O772" s="36"/>
    </row>
    <row r="773">
      <c r="F773" s="36"/>
      <c r="G773" s="46"/>
      <c r="O773" s="36"/>
    </row>
    <row r="774">
      <c r="F774" s="36"/>
      <c r="G774" s="42"/>
      <c r="O774" s="36"/>
    </row>
    <row r="775">
      <c r="F775" s="36"/>
      <c r="G775" s="42"/>
      <c r="O775" s="36"/>
    </row>
    <row r="776">
      <c r="F776" s="36"/>
      <c r="G776" s="42"/>
      <c r="O776" s="36"/>
    </row>
    <row r="777">
      <c r="F777" s="36"/>
      <c r="G777" s="42"/>
      <c r="O777" s="36"/>
    </row>
    <row r="778">
      <c r="F778" s="36"/>
      <c r="G778" s="42"/>
      <c r="O778" s="36"/>
    </row>
    <row r="779">
      <c r="F779" s="36"/>
      <c r="G779" s="42"/>
      <c r="O779" s="36"/>
    </row>
    <row r="780">
      <c r="F780" s="36"/>
      <c r="G780" s="42"/>
      <c r="O780" s="36"/>
    </row>
    <row r="781">
      <c r="F781" s="36"/>
      <c r="G781" s="42"/>
      <c r="O781" s="36"/>
    </row>
    <row r="782">
      <c r="F782" s="36"/>
      <c r="G782" s="42"/>
      <c r="O782" s="36"/>
    </row>
    <row r="783">
      <c r="F783" s="36"/>
      <c r="G783" s="46"/>
      <c r="O783" s="36"/>
    </row>
    <row r="784">
      <c r="F784" s="36"/>
      <c r="G784" s="42"/>
      <c r="O784" s="36"/>
    </row>
    <row r="785">
      <c r="F785" s="36"/>
      <c r="G785" s="42"/>
      <c r="O785" s="36"/>
    </row>
    <row r="786">
      <c r="F786" s="36"/>
      <c r="G786" s="42"/>
      <c r="O786" s="36"/>
    </row>
    <row r="787">
      <c r="F787" s="36"/>
      <c r="G787" s="42"/>
      <c r="O787" s="36"/>
    </row>
    <row r="788">
      <c r="F788" s="36"/>
      <c r="G788" s="42"/>
      <c r="O788" s="36"/>
    </row>
    <row r="789">
      <c r="F789" s="36"/>
      <c r="G789" s="42"/>
      <c r="O789" s="36"/>
    </row>
    <row r="790">
      <c r="F790" s="36"/>
      <c r="G790" s="42"/>
      <c r="O790" s="36"/>
    </row>
    <row r="791">
      <c r="F791" s="36"/>
      <c r="G791" s="42"/>
      <c r="O791" s="36"/>
    </row>
    <row r="792">
      <c r="F792" s="36"/>
      <c r="G792" s="42"/>
      <c r="O792" s="36"/>
    </row>
    <row r="793">
      <c r="F793" s="36"/>
      <c r="G793" s="42"/>
      <c r="O793" s="36"/>
    </row>
    <row r="794">
      <c r="F794" s="36"/>
      <c r="G794" s="42"/>
      <c r="O794" s="36"/>
    </row>
    <row r="795">
      <c r="F795" s="36"/>
      <c r="G795" s="42"/>
      <c r="O795" s="36"/>
    </row>
    <row r="796">
      <c r="F796" s="36"/>
      <c r="G796" s="42"/>
      <c r="O796" s="36"/>
    </row>
    <row r="797">
      <c r="F797" s="36"/>
      <c r="G797" s="42"/>
      <c r="O797" s="36"/>
    </row>
    <row r="798">
      <c r="F798" s="36"/>
      <c r="G798" s="42"/>
      <c r="O798" s="36"/>
    </row>
    <row r="799">
      <c r="F799" s="36"/>
      <c r="G799" s="42"/>
      <c r="O799" s="36"/>
    </row>
    <row r="800">
      <c r="F800" s="36"/>
      <c r="G800" s="42"/>
      <c r="O800" s="36"/>
    </row>
    <row r="801">
      <c r="F801" s="36"/>
      <c r="G801" s="42"/>
      <c r="O801" s="36"/>
    </row>
    <row r="802">
      <c r="F802" s="36"/>
      <c r="G802" s="42"/>
      <c r="O802" s="36"/>
    </row>
    <row r="803">
      <c r="F803" s="36"/>
      <c r="G803" s="42"/>
      <c r="O803" s="36"/>
    </row>
    <row r="804">
      <c r="F804" s="36"/>
      <c r="G804" s="42"/>
      <c r="O804" s="36"/>
    </row>
    <row r="805">
      <c r="F805" s="36"/>
      <c r="G805" s="42"/>
      <c r="O805" s="36"/>
    </row>
    <row r="806">
      <c r="F806" s="36"/>
      <c r="G806" s="42"/>
      <c r="O806" s="36"/>
    </row>
    <row r="807">
      <c r="F807" s="36"/>
      <c r="G807" s="50"/>
      <c r="O807" s="36"/>
    </row>
    <row r="808">
      <c r="F808" s="36"/>
      <c r="G808" s="42"/>
      <c r="O808" s="36"/>
    </row>
    <row r="809">
      <c r="F809" s="36"/>
      <c r="G809" s="50"/>
      <c r="O809" s="36"/>
    </row>
    <row r="810">
      <c r="F810" s="36"/>
      <c r="G810" s="42"/>
      <c r="O810" s="36"/>
    </row>
    <row r="811">
      <c r="F811" s="36"/>
      <c r="G811" s="42"/>
      <c r="O811" s="36"/>
    </row>
    <row r="812">
      <c r="F812" s="36"/>
      <c r="G812" s="42"/>
      <c r="O812" s="36"/>
    </row>
    <row r="813">
      <c r="F813" s="36"/>
      <c r="G813" s="50"/>
      <c r="O813" s="36"/>
    </row>
    <row r="814">
      <c r="F814" s="36"/>
      <c r="G814" s="51"/>
      <c r="O814" s="36"/>
    </row>
    <row r="815">
      <c r="F815" s="36"/>
      <c r="G815" s="42"/>
      <c r="O815" s="36"/>
    </row>
    <row r="816">
      <c r="F816" s="36"/>
      <c r="G816" s="42"/>
      <c r="O816" s="36"/>
    </row>
    <row r="817">
      <c r="F817" s="36"/>
      <c r="G817" s="42"/>
      <c r="O817" s="36"/>
    </row>
    <row r="818">
      <c r="F818" s="36"/>
      <c r="G818" s="42"/>
      <c r="O818" s="36"/>
    </row>
    <row r="819">
      <c r="F819" s="36"/>
      <c r="G819" s="50"/>
      <c r="O819" s="36"/>
    </row>
    <row r="820">
      <c r="F820" s="36"/>
      <c r="G820" s="42"/>
      <c r="O820" s="36"/>
    </row>
    <row r="821">
      <c r="F821" s="36"/>
      <c r="G821" s="43"/>
      <c r="O821" s="36"/>
    </row>
    <row r="822">
      <c r="F822" s="36"/>
      <c r="G822" s="43"/>
      <c r="O822" s="36"/>
    </row>
    <row r="823">
      <c r="F823" s="36"/>
      <c r="G823" s="43"/>
      <c r="O823" s="36"/>
    </row>
    <row r="824">
      <c r="F824" s="36"/>
      <c r="G824" s="46"/>
      <c r="O824" s="36"/>
    </row>
    <row r="825">
      <c r="F825" s="36"/>
      <c r="G825" s="46"/>
      <c r="O825" s="36"/>
    </row>
    <row r="826">
      <c r="F826" s="36"/>
      <c r="G826" s="49"/>
      <c r="O826" s="36"/>
    </row>
    <row r="827">
      <c r="F827" s="36"/>
      <c r="G827" s="46"/>
      <c r="O827" s="36"/>
    </row>
    <row r="828">
      <c r="F828" s="36"/>
      <c r="G828" s="46"/>
      <c r="O828" s="36"/>
    </row>
    <row r="829">
      <c r="F829" s="36"/>
      <c r="G829" s="46"/>
      <c r="O829" s="36"/>
    </row>
    <row r="830">
      <c r="F830" s="36"/>
      <c r="G830" s="46"/>
      <c r="O830" s="36"/>
    </row>
    <row r="831">
      <c r="F831" s="36"/>
      <c r="G831" s="46"/>
      <c r="O831" s="36"/>
    </row>
    <row r="832">
      <c r="F832" s="36"/>
      <c r="G832" s="49"/>
      <c r="O832" s="36"/>
    </row>
    <row r="833">
      <c r="F833" s="36"/>
      <c r="G833" s="46"/>
      <c r="O833" s="36"/>
    </row>
    <row r="834">
      <c r="F834" s="36"/>
      <c r="G834" s="46"/>
      <c r="O834" s="36"/>
    </row>
    <row r="835">
      <c r="F835" s="36"/>
      <c r="G835" s="46"/>
      <c r="O835" s="36"/>
    </row>
    <row r="836">
      <c r="F836" s="36"/>
      <c r="G836" s="46"/>
      <c r="O836" s="36"/>
    </row>
    <row r="837">
      <c r="F837" s="36"/>
      <c r="G837" s="46"/>
      <c r="O837" s="36"/>
    </row>
    <row r="838">
      <c r="F838" s="36"/>
      <c r="G838" s="46"/>
      <c r="O838" s="36"/>
    </row>
    <row r="839">
      <c r="F839" s="36"/>
      <c r="G839" s="46"/>
      <c r="O839" s="36"/>
    </row>
    <row r="840">
      <c r="F840" s="36"/>
      <c r="G840" s="46"/>
      <c r="O840" s="36"/>
    </row>
    <row r="841">
      <c r="F841" s="36"/>
      <c r="G841" s="46"/>
      <c r="O841" s="36"/>
    </row>
    <row r="842">
      <c r="F842" s="36"/>
      <c r="G842" s="46"/>
      <c r="O842" s="36"/>
    </row>
    <row r="843">
      <c r="F843" s="36"/>
      <c r="G843" s="46"/>
      <c r="O843" s="36"/>
    </row>
    <row r="844">
      <c r="F844" s="36"/>
      <c r="G844" s="46"/>
      <c r="O844" s="36"/>
    </row>
    <row r="845">
      <c r="F845" s="36"/>
      <c r="G845" s="46"/>
      <c r="O845" s="36"/>
    </row>
    <row r="846">
      <c r="F846" s="36"/>
      <c r="G846" s="46"/>
      <c r="O846" s="36"/>
    </row>
    <row r="847">
      <c r="F847" s="36"/>
      <c r="G847" s="46"/>
      <c r="O847" s="36"/>
    </row>
    <row r="848">
      <c r="F848" s="36"/>
      <c r="G848" s="46"/>
      <c r="O848" s="36"/>
    </row>
    <row r="849">
      <c r="F849" s="36"/>
      <c r="G849" s="46"/>
      <c r="O849" s="36"/>
    </row>
    <row r="850">
      <c r="F850" s="36"/>
      <c r="G850" s="46"/>
      <c r="O850" s="36"/>
    </row>
    <row r="851">
      <c r="F851" s="36"/>
      <c r="G851" s="46"/>
      <c r="O851" s="36"/>
    </row>
    <row r="852">
      <c r="F852" s="36"/>
      <c r="G852" s="46"/>
      <c r="O852" s="36"/>
    </row>
    <row r="853">
      <c r="F853" s="36"/>
      <c r="G853" s="46"/>
      <c r="O853" s="36"/>
    </row>
    <row r="854">
      <c r="F854" s="36"/>
      <c r="G854" s="46"/>
      <c r="O854" s="36"/>
    </row>
    <row r="855">
      <c r="F855" s="36"/>
      <c r="G855" s="46"/>
      <c r="O855" s="36"/>
    </row>
    <row r="856">
      <c r="F856" s="36"/>
      <c r="G856" s="46"/>
      <c r="O856" s="36"/>
    </row>
    <row r="857">
      <c r="F857" s="36"/>
      <c r="G857" s="46"/>
      <c r="O857" s="36"/>
    </row>
    <row r="858">
      <c r="F858" s="36"/>
      <c r="G858" s="49"/>
      <c r="O858" s="36"/>
    </row>
    <row r="859">
      <c r="F859" s="36"/>
      <c r="G859" s="43"/>
      <c r="O859" s="36"/>
    </row>
    <row r="860">
      <c r="F860" s="36"/>
      <c r="G860" s="43"/>
      <c r="O860" s="36"/>
    </row>
    <row r="861">
      <c r="F861" s="36"/>
      <c r="G861" s="43"/>
      <c r="O861" s="36"/>
    </row>
    <row r="862">
      <c r="F862" s="36"/>
      <c r="G862" s="46"/>
      <c r="O862" s="36"/>
    </row>
    <row r="863">
      <c r="F863" s="36"/>
      <c r="G863" s="46"/>
      <c r="O863" s="36"/>
    </row>
    <row r="864">
      <c r="F864" s="36"/>
      <c r="G864" s="49"/>
      <c r="O864" s="36"/>
    </row>
    <row r="865">
      <c r="F865" s="36"/>
      <c r="G865" s="46"/>
      <c r="O865" s="36"/>
    </row>
    <row r="866">
      <c r="F866" s="36"/>
      <c r="G866" s="46"/>
      <c r="O866" s="36"/>
    </row>
    <row r="867">
      <c r="F867" s="36"/>
      <c r="G867" s="49"/>
      <c r="O867" s="36"/>
    </row>
    <row r="868">
      <c r="F868" s="36"/>
      <c r="G868" s="46"/>
      <c r="O868" s="36"/>
    </row>
    <row r="869">
      <c r="F869" s="36"/>
      <c r="G869" s="46"/>
      <c r="O869" s="36"/>
    </row>
    <row r="870">
      <c r="F870" s="36"/>
      <c r="G870" s="46"/>
      <c r="O870" s="36"/>
    </row>
    <row r="871">
      <c r="F871" s="36"/>
      <c r="G871" s="46"/>
      <c r="O871" s="36"/>
    </row>
    <row r="872">
      <c r="F872" s="36"/>
      <c r="G872" s="46"/>
      <c r="O872" s="36"/>
    </row>
    <row r="873">
      <c r="F873" s="36"/>
      <c r="G873" s="46"/>
      <c r="O873" s="36"/>
    </row>
    <row r="874">
      <c r="F874" s="36"/>
      <c r="G874" s="46"/>
      <c r="O874" s="36"/>
    </row>
    <row r="875">
      <c r="F875" s="36"/>
      <c r="G875" s="46"/>
      <c r="O875" s="36"/>
    </row>
    <row r="876">
      <c r="F876" s="36"/>
      <c r="G876" s="46"/>
      <c r="O876" s="36"/>
    </row>
    <row r="877">
      <c r="F877" s="36"/>
      <c r="G877" s="46"/>
      <c r="O877" s="36"/>
    </row>
    <row r="878">
      <c r="F878" s="36"/>
      <c r="G878" s="46"/>
      <c r="O878" s="36"/>
    </row>
    <row r="879">
      <c r="F879" s="36"/>
      <c r="G879" s="46"/>
      <c r="O879" s="36"/>
    </row>
    <row r="880">
      <c r="F880" s="36"/>
      <c r="G880" s="46"/>
      <c r="O880" s="36"/>
    </row>
    <row r="881">
      <c r="F881" s="36"/>
      <c r="G881" s="46"/>
      <c r="O881" s="36"/>
    </row>
    <row r="882">
      <c r="F882" s="36"/>
      <c r="G882" s="46"/>
      <c r="O882" s="36"/>
    </row>
    <row r="883">
      <c r="F883" s="36"/>
      <c r="G883" s="49"/>
      <c r="O883" s="36"/>
    </row>
    <row r="884">
      <c r="F884" s="36"/>
      <c r="G884" s="43"/>
      <c r="O884" s="36"/>
    </row>
    <row r="885">
      <c r="F885" s="36"/>
      <c r="G885" s="43"/>
      <c r="O885" s="36"/>
    </row>
    <row r="886">
      <c r="F886" s="36"/>
      <c r="G886" s="43"/>
      <c r="O886" s="36"/>
    </row>
    <row r="887">
      <c r="F887" s="36"/>
      <c r="G887" s="46"/>
      <c r="O887" s="36"/>
    </row>
    <row r="888">
      <c r="F888" s="36"/>
      <c r="G888" s="46"/>
      <c r="O888" s="36"/>
    </row>
    <row r="889">
      <c r="F889" s="36"/>
      <c r="G889" s="46"/>
      <c r="O889" s="36"/>
    </row>
    <row r="890">
      <c r="F890" s="36"/>
      <c r="G890" s="46"/>
      <c r="O890" s="36"/>
    </row>
    <row r="891">
      <c r="F891" s="36"/>
      <c r="G891" s="46"/>
      <c r="O891" s="36"/>
    </row>
    <row r="892">
      <c r="F892" s="36"/>
      <c r="G892" s="46"/>
      <c r="O892" s="36"/>
    </row>
    <row r="893">
      <c r="F893" s="36"/>
      <c r="G893" s="46"/>
      <c r="O893" s="36"/>
    </row>
    <row r="894">
      <c r="F894" s="36"/>
      <c r="G894" s="46"/>
      <c r="O894" s="36"/>
    </row>
    <row r="895">
      <c r="F895" s="36"/>
      <c r="G895" s="49"/>
      <c r="O895" s="36"/>
    </row>
    <row r="896">
      <c r="F896" s="36"/>
      <c r="G896" s="46"/>
      <c r="O896" s="36"/>
    </row>
    <row r="897">
      <c r="F897" s="36"/>
      <c r="G897" s="46"/>
      <c r="O897" s="36"/>
    </row>
    <row r="898">
      <c r="F898" s="36"/>
      <c r="G898" s="46"/>
      <c r="O898" s="36"/>
    </row>
    <row r="899">
      <c r="F899" s="36"/>
      <c r="G899" s="46"/>
      <c r="O899" s="36"/>
    </row>
    <row r="900">
      <c r="F900" s="36"/>
      <c r="G900" s="46"/>
      <c r="O900" s="36"/>
    </row>
    <row r="901">
      <c r="F901" s="36"/>
      <c r="G901" s="46"/>
      <c r="O901" s="36"/>
    </row>
    <row r="902">
      <c r="F902" s="36"/>
      <c r="G902" s="46"/>
      <c r="O902" s="36"/>
    </row>
    <row r="903">
      <c r="F903" s="36"/>
      <c r="G903" s="46"/>
      <c r="O903" s="36"/>
    </row>
    <row r="904">
      <c r="F904" s="36"/>
      <c r="G904" s="49"/>
      <c r="O904" s="36"/>
    </row>
    <row r="905">
      <c r="F905" s="36"/>
      <c r="G905" s="46"/>
      <c r="O905" s="36"/>
    </row>
    <row r="906">
      <c r="F906" s="36"/>
      <c r="G906" s="46"/>
      <c r="O906" s="36"/>
    </row>
    <row r="907">
      <c r="F907" s="36"/>
      <c r="G907" s="49"/>
      <c r="O907" s="36"/>
    </row>
    <row r="908">
      <c r="F908" s="36"/>
      <c r="G908" s="43"/>
      <c r="O908" s="36"/>
    </row>
    <row r="909">
      <c r="F909" s="36"/>
      <c r="G909" s="46"/>
      <c r="O909" s="36"/>
    </row>
    <row r="910">
      <c r="F910" s="36"/>
      <c r="G910" s="46"/>
      <c r="O910" s="36"/>
    </row>
    <row r="911">
      <c r="F911" s="36"/>
      <c r="G911" s="46"/>
      <c r="O911" s="36"/>
    </row>
    <row r="912">
      <c r="F912" s="36"/>
      <c r="G912" s="46"/>
      <c r="O912" s="36"/>
    </row>
    <row r="913">
      <c r="F913" s="36"/>
      <c r="G913" s="46"/>
      <c r="O913" s="36"/>
    </row>
    <row r="914">
      <c r="F914" s="36"/>
      <c r="G914" s="46"/>
      <c r="O914" s="36"/>
    </row>
    <row r="915">
      <c r="F915" s="36"/>
      <c r="G915" s="46"/>
      <c r="O915" s="36"/>
    </row>
    <row r="916">
      <c r="F916" s="36"/>
      <c r="G916" s="49"/>
      <c r="O916" s="36"/>
    </row>
    <row r="917">
      <c r="F917" s="36"/>
      <c r="G917" s="43"/>
      <c r="O917" s="36"/>
    </row>
    <row r="918">
      <c r="F918" s="36"/>
      <c r="G918" s="43"/>
      <c r="O918" s="36"/>
    </row>
    <row r="919">
      <c r="F919" s="36"/>
      <c r="G919" s="43"/>
      <c r="O919" s="36"/>
    </row>
    <row r="920">
      <c r="F920" s="36"/>
      <c r="G920" s="46"/>
      <c r="O920" s="36"/>
    </row>
    <row r="921">
      <c r="F921" s="36"/>
      <c r="G921" s="46"/>
      <c r="O921" s="36"/>
    </row>
    <row r="922">
      <c r="F922" s="36"/>
      <c r="G922" s="46"/>
      <c r="O922" s="36"/>
    </row>
    <row r="923">
      <c r="F923" s="36"/>
      <c r="G923" s="46"/>
      <c r="O923" s="36"/>
    </row>
    <row r="924">
      <c r="F924" s="36"/>
      <c r="G924" s="46"/>
      <c r="O924" s="36"/>
    </row>
    <row r="925">
      <c r="F925" s="36"/>
      <c r="G925" s="46"/>
      <c r="O925" s="36"/>
    </row>
    <row r="926">
      <c r="F926" s="36"/>
      <c r="G926" s="46"/>
      <c r="O926" s="36"/>
    </row>
    <row r="927">
      <c r="F927" s="36"/>
      <c r="G927" s="46"/>
      <c r="O927" s="36"/>
    </row>
    <row r="928">
      <c r="F928" s="36"/>
      <c r="G928" s="46"/>
      <c r="O928" s="36"/>
    </row>
    <row r="929">
      <c r="F929" s="36"/>
      <c r="G929" s="46"/>
      <c r="O929" s="36"/>
    </row>
    <row r="930">
      <c r="F930" s="36"/>
      <c r="G930" s="46"/>
      <c r="O930" s="36"/>
    </row>
    <row r="931">
      <c r="F931" s="36"/>
      <c r="G931" s="49"/>
      <c r="O931" s="36"/>
    </row>
    <row r="932">
      <c r="F932" s="36"/>
      <c r="G932" s="43"/>
      <c r="O932" s="36"/>
    </row>
    <row r="933">
      <c r="F933" s="36"/>
      <c r="G933" s="46"/>
      <c r="O933" s="36"/>
    </row>
    <row r="934">
      <c r="F934" s="36"/>
      <c r="G934" s="46"/>
      <c r="O934" s="36"/>
    </row>
    <row r="935">
      <c r="F935" s="36"/>
      <c r="G935" s="49"/>
      <c r="O935" s="36"/>
    </row>
    <row r="936">
      <c r="F936" s="36"/>
      <c r="G936" s="46"/>
      <c r="O936" s="36"/>
    </row>
    <row r="937">
      <c r="F937" s="36"/>
      <c r="G937" s="46"/>
      <c r="O937" s="36"/>
    </row>
    <row r="938">
      <c r="F938" s="36"/>
      <c r="G938" s="46"/>
      <c r="O938" s="36"/>
    </row>
    <row r="939">
      <c r="F939" s="36"/>
      <c r="G939" s="46"/>
      <c r="O939" s="36"/>
    </row>
    <row r="940">
      <c r="F940" s="36"/>
      <c r="G940" s="46"/>
      <c r="O940" s="36"/>
    </row>
    <row r="941">
      <c r="F941" s="36"/>
      <c r="G941" s="46"/>
      <c r="O941" s="36"/>
    </row>
    <row r="942">
      <c r="F942" s="36"/>
      <c r="G942" s="46"/>
      <c r="O942" s="36"/>
    </row>
    <row r="943">
      <c r="F943" s="36"/>
      <c r="G943" s="46"/>
      <c r="O943" s="36"/>
    </row>
    <row r="944">
      <c r="F944" s="36"/>
      <c r="G944" s="46"/>
      <c r="O944" s="36"/>
    </row>
    <row r="945">
      <c r="F945" s="36"/>
      <c r="G945" s="46"/>
      <c r="O945" s="36"/>
    </row>
    <row r="946">
      <c r="F946" s="36"/>
      <c r="G946" s="46"/>
      <c r="O946" s="36"/>
    </row>
    <row r="947">
      <c r="F947" s="36"/>
      <c r="G947" s="46"/>
      <c r="O947" s="36"/>
    </row>
    <row r="948">
      <c r="F948" s="36"/>
      <c r="G948" s="46"/>
      <c r="O948" s="36"/>
    </row>
    <row r="949">
      <c r="F949" s="36"/>
      <c r="G949" s="46"/>
      <c r="O949" s="36"/>
    </row>
    <row r="950">
      <c r="F950" s="36"/>
      <c r="G950" s="49"/>
      <c r="O950" s="36"/>
    </row>
    <row r="951">
      <c r="F951" s="36"/>
      <c r="G951" s="43"/>
      <c r="O951" s="36"/>
    </row>
    <row r="952">
      <c r="F952" s="36"/>
      <c r="G952" s="43"/>
      <c r="O952" s="36"/>
    </row>
    <row r="953">
      <c r="F953" s="36"/>
      <c r="G953" s="43"/>
      <c r="O953" s="36"/>
    </row>
    <row r="954">
      <c r="F954" s="36"/>
      <c r="G954" s="46"/>
      <c r="O954" s="36"/>
    </row>
    <row r="955">
      <c r="F955" s="36"/>
      <c r="G955" s="46"/>
      <c r="O955" s="36"/>
    </row>
    <row r="956">
      <c r="F956" s="36"/>
      <c r="G956" s="49"/>
      <c r="O956" s="36"/>
    </row>
    <row r="957">
      <c r="F957" s="36"/>
      <c r="G957" s="46"/>
      <c r="O957" s="36"/>
    </row>
    <row r="958">
      <c r="F958" s="36"/>
      <c r="G958" s="46"/>
      <c r="O958" s="36"/>
    </row>
    <row r="959">
      <c r="F959" s="36"/>
      <c r="G959" s="46"/>
      <c r="O959" s="36"/>
    </row>
    <row r="960">
      <c r="F960" s="36"/>
      <c r="G960" s="46"/>
      <c r="O960" s="36"/>
    </row>
    <row r="961">
      <c r="F961" s="36"/>
      <c r="G961" s="46"/>
      <c r="O961" s="36"/>
    </row>
    <row r="962">
      <c r="F962" s="36"/>
      <c r="G962" s="46"/>
      <c r="O962" s="36"/>
    </row>
    <row r="963">
      <c r="F963" s="36"/>
      <c r="G963" s="46"/>
      <c r="O963" s="36"/>
    </row>
    <row r="964">
      <c r="F964" s="36"/>
      <c r="G964" s="46"/>
      <c r="O964" s="36"/>
    </row>
    <row r="965">
      <c r="F965" s="36"/>
      <c r="G965" s="49"/>
      <c r="O965" s="36"/>
    </row>
    <row r="966">
      <c r="F966" s="36"/>
      <c r="G966" s="46"/>
      <c r="O966" s="36"/>
    </row>
    <row r="967">
      <c r="F967" s="36"/>
      <c r="G967" s="46"/>
      <c r="O967" s="36"/>
    </row>
    <row r="968">
      <c r="F968" s="36"/>
      <c r="G968" s="46"/>
      <c r="O968" s="36"/>
    </row>
    <row r="969">
      <c r="F969" s="36"/>
      <c r="G969" s="46"/>
      <c r="O969" s="36"/>
    </row>
    <row r="970">
      <c r="F970" s="36"/>
      <c r="G970" s="46"/>
      <c r="O970" s="36"/>
    </row>
    <row r="971">
      <c r="F971" s="36"/>
      <c r="G971" s="46"/>
      <c r="O971" s="36"/>
    </row>
    <row r="972">
      <c r="F972" s="36"/>
      <c r="G972" s="49"/>
      <c r="O972" s="36"/>
    </row>
    <row r="973">
      <c r="F973" s="36"/>
      <c r="G973" s="43"/>
      <c r="O973" s="36"/>
    </row>
    <row r="974">
      <c r="F974" s="36"/>
      <c r="G974" s="43"/>
      <c r="O974" s="36"/>
    </row>
    <row r="975">
      <c r="F975" s="36"/>
      <c r="G975" s="43"/>
      <c r="O975" s="36"/>
    </row>
    <row r="976">
      <c r="F976" s="36"/>
      <c r="G976" s="46"/>
      <c r="O976" s="36"/>
    </row>
    <row r="977">
      <c r="F977" s="36"/>
      <c r="G977" s="49"/>
      <c r="O977" s="36"/>
    </row>
    <row r="978">
      <c r="F978" s="36"/>
      <c r="G978" s="46"/>
      <c r="O978" s="36"/>
    </row>
    <row r="979">
      <c r="F979" s="36"/>
      <c r="G979" s="46"/>
      <c r="O979" s="36"/>
    </row>
    <row r="980">
      <c r="F980" s="36"/>
      <c r="G980" s="46"/>
      <c r="O980" s="36"/>
    </row>
    <row r="981">
      <c r="F981" s="36"/>
      <c r="G981" s="46"/>
      <c r="O981" s="36"/>
    </row>
    <row r="982">
      <c r="F982" s="36"/>
      <c r="G982" s="49"/>
      <c r="O982" s="36"/>
    </row>
    <row r="983">
      <c r="F983" s="36"/>
      <c r="G983" s="43"/>
      <c r="O983" s="36"/>
    </row>
    <row r="984">
      <c r="F984" s="36"/>
      <c r="G984" s="43"/>
      <c r="O984" s="36"/>
    </row>
    <row r="985">
      <c r="F985" s="36"/>
      <c r="G985" s="43"/>
      <c r="O985" s="36"/>
    </row>
    <row r="986">
      <c r="F986" s="36"/>
      <c r="G986" s="46"/>
      <c r="O986" s="36"/>
    </row>
    <row r="987">
      <c r="F987" s="36"/>
      <c r="G987" s="46"/>
      <c r="O987" s="36"/>
    </row>
    <row r="988">
      <c r="F988" s="36"/>
      <c r="G988" s="46"/>
      <c r="O988" s="36"/>
    </row>
    <row r="989">
      <c r="F989" s="36"/>
      <c r="G989" s="46"/>
      <c r="O989" s="36"/>
    </row>
    <row r="990">
      <c r="F990" s="36"/>
      <c r="G990" s="49"/>
      <c r="O990" s="36"/>
    </row>
    <row r="991">
      <c r="F991" s="36"/>
      <c r="G991" s="46"/>
      <c r="O991" s="36"/>
    </row>
    <row r="992">
      <c r="F992" s="36"/>
      <c r="G992" s="46"/>
      <c r="O992" s="36"/>
    </row>
    <row r="993">
      <c r="F993" s="36"/>
      <c r="G993" s="46"/>
      <c r="O993" s="36"/>
    </row>
    <row r="994">
      <c r="F994" s="36"/>
      <c r="G994" s="46"/>
      <c r="O994" s="36"/>
    </row>
    <row r="995">
      <c r="F995" s="36"/>
      <c r="G995" s="46"/>
      <c r="O995" s="36"/>
    </row>
    <row r="996">
      <c r="F996" s="36"/>
      <c r="G996" s="46"/>
      <c r="O996" s="36"/>
    </row>
    <row r="997">
      <c r="F997" s="36"/>
      <c r="G997" s="46"/>
      <c r="O997" s="36"/>
    </row>
    <row r="998">
      <c r="F998" s="36"/>
      <c r="G998" s="46"/>
      <c r="O998" s="36"/>
    </row>
    <row r="999">
      <c r="F999" s="36"/>
      <c r="G999" s="46"/>
      <c r="O999" s="36"/>
    </row>
    <row r="1000">
      <c r="F1000" s="36"/>
      <c r="G1000" s="49"/>
      <c r="O1000" s="36"/>
    </row>
    <row r="1001">
      <c r="F1001" s="36"/>
      <c r="G1001" s="46"/>
      <c r="O1001" s="36"/>
    </row>
    <row r="1002">
      <c r="F1002" s="36"/>
      <c r="G1002" s="46"/>
      <c r="O1002" s="36"/>
    </row>
    <row r="1003">
      <c r="F1003" s="36"/>
      <c r="G1003" s="46"/>
      <c r="O1003" s="36"/>
    </row>
    <row r="1004">
      <c r="F1004" s="36"/>
      <c r="G1004" s="46"/>
      <c r="O1004" s="36"/>
    </row>
    <row r="1005">
      <c r="F1005" s="36"/>
      <c r="G1005" s="46"/>
      <c r="O1005" s="36"/>
    </row>
    <row r="1006">
      <c r="F1006" s="36"/>
      <c r="G1006" s="49"/>
      <c r="O1006" s="36"/>
    </row>
    <row r="1007">
      <c r="F1007" s="36"/>
      <c r="G1007" s="46"/>
      <c r="O1007" s="36"/>
    </row>
    <row r="1008">
      <c r="F1008" s="36"/>
      <c r="G1008" s="46"/>
      <c r="O1008" s="36"/>
    </row>
    <row r="1009">
      <c r="F1009" s="36"/>
      <c r="G1009" s="46"/>
      <c r="O1009" s="36"/>
    </row>
    <row r="1010">
      <c r="F1010" s="36"/>
      <c r="G1010" s="46"/>
      <c r="O1010" s="36"/>
    </row>
    <row r="1011">
      <c r="F1011" s="36"/>
      <c r="G1011" s="49"/>
      <c r="O1011" s="36"/>
    </row>
    <row r="1012">
      <c r="F1012" s="36"/>
      <c r="G1012" s="46"/>
      <c r="O1012" s="36"/>
    </row>
    <row r="1013">
      <c r="F1013" s="36"/>
      <c r="G1013" s="46"/>
      <c r="O1013" s="36"/>
    </row>
    <row r="1014">
      <c r="F1014" s="36"/>
      <c r="G1014" s="46"/>
      <c r="O1014" s="36"/>
    </row>
    <row r="1015">
      <c r="F1015" s="36"/>
      <c r="G1015" s="49"/>
      <c r="O1015" s="36"/>
    </row>
    <row r="1016">
      <c r="F1016" s="36"/>
      <c r="G1016" s="46"/>
      <c r="O1016" s="36"/>
    </row>
    <row r="1017">
      <c r="F1017" s="36"/>
      <c r="G1017" s="46"/>
      <c r="O1017" s="36"/>
    </row>
    <row r="1018">
      <c r="F1018" s="36"/>
      <c r="G1018" s="49"/>
      <c r="O1018" s="36"/>
    </row>
    <row r="1019">
      <c r="F1019" s="36"/>
      <c r="G1019" s="46"/>
      <c r="O1019" s="36"/>
    </row>
    <row r="1020">
      <c r="F1020" s="36"/>
      <c r="G1020" s="46"/>
      <c r="O1020" s="36"/>
    </row>
    <row r="1021">
      <c r="F1021" s="36"/>
      <c r="G1021" s="46"/>
      <c r="O1021" s="36"/>
    </row>
    <row r="1022">
      <c r="F1022" s="36"/>
      <c r="G1022" s="46"/>
      <c r="O1022" s="36"/>
    </row>
    <row r="1023">
      <c r="F1023" s="36"/>
      <c r="G1023" s="49"/>
      <c r="O1023" s="36"/>
    </row>
    <row r="1024">
      <c r="F1024" s="36"/>
      <c r="G1024" s="46"/>
      <c r="O1024" s="36"/>
    </row>
    <row r="1025">
      <c r="F1025" s="36"/>
      <c r="G1025" s="46"/>
      <c r="O1025" s="36"/>
    </row>
    <row r="1026">
      <c r="F1026" s="36"/>
      <c r="G1026" s="46"/>
      <c r="O1026" s="36"/>
    </row>
    <row r="1027">
      <c r="F1027" s="36"/>
      <c r="G1027" s="46"/>
      <c r="O1027" s="36"/>
    </row>
    <row r="1028">
      <c r="F1028" s="36"/>
      <c r="G1028" s="46"/>
      <c r="O1028" s="36"/>
    </row>
    <row r="1029">
      <c r="F1029" s="36"/>
      <c r="G1029" s="46"/>
      <c r="O1029" s="36"/>
    </row>
    <row r="1030">
      <c r="F1030" s="36"/>
      <c r="G1030" s="46"/>
      <c r="O1030" s="36"/>
    </row>
    <row r="1031">
      <c r="F1031" s="36"/>
      <c r="G1031" s="49"/>
      <c r="O1031" s="36"/>
    </row>
    <row r="1032">
      <c r="F1032" s="36"/>
      <c r="G1032" s="46"/>
      <c r="O1032" s="36"/>
    </row>
    <row r="1033">
      <c r="F1033" s="36"/>
      <c r="G1033" s="46"/>
      <c r="O1033" s="36"/>
    </row>
    <row r="1034">
      <c r="F1034" s="36"/>
      <c r="G1034" s="46"/>
      <c r="O1034" s="36"/>
    </row>
    <row r="1035">
      <c r="F1035" s="36"/>
      <c r="G1035" s="49"/>
      <c r="O1035" s="36"/>
    </row>
    <row r="1036">
      <c r="F1036" s="36"/>
      <c r="G1036" s="46"/>
      <c r="O1036" s="36"/>
    </row>
    <row r="1037">
      <c r="F1037" s="36"/>
      <c r="G1037" s="46"/>
      <c r="O1037" s="36"/>
    </row>
    <row r="1038">
      <c r="F1038" s="36"/>
      <c r="G1038" s="46"/>
      <c r="O1038" s="36"/>
    </row>
    <row r="1039">
      <c r="F1039" s="36"/>
      <c r="G1039" s="46"/>
      <c r="O1039" s="36"/>
    </row>
    <row r="1040">
      <c r="F1040" s="36"/>
      <c r="G1040" s="46"/>
      <c r="O1040" s="36"/>
    </row>
    <row r="1041">
      <c r="F1041" s="36"/>
      <c r="G1041" s="46"/>
      <c r="O1041" s="36"/>
    </row>
    <row r="1042">
      <c r="F1042" s="36"/>
      <c r="G1042" s="46"/>
      <c r="O1042" s="36"/>
    </row>
    <row r="1043">
      <c r="F1043" s="36"/>
      <c r="G1043" s="46"/>
      <c r="O1043" s="36"/>
    </row>
    <row r="1044">
      <c r="F1044" s="36"/>
      <c r="G1044" s="46"/>
      <c r="O1044" s="36"/>
    </row>
    <row r="1045">
      <c r="F1045" s="36"/>
      <c r="G1045" s="49"/>
      <c r="O1045" s="36"/>
    </row>
    <row r="1046">
      <c r="F1046" s="36"/>
      <c r="G1046" s="46"/>
      <c r="O1046" s="36"/>
    </row>
    <row r="1047">
      <c r="F1047" s="36"/>
      <c r="G1047" s="46"/>
      <c r="O1047" s="36"/>
    </row>
    <row r="1048">
      <c r="F1048" s="36"/>
      <c r="G1048" s="46"/>
      <c r="O1048" s="36"/>
    </row>
    <row r="1049">
      <c r="F1049" s="36"/>
      <c r="G1049" s="46"/>
      <c r="O1049" s="36"/>
    </row>
    <row r="1050">
      <c r="F1050" s="36"/>
      <c r="G1050" s="49"/>
      <c r="O1050" s="36"/>
    </row>
    <row r="1051">
      <c r="F1051" s="36"/>
      <c r="G1051" s="46"/>
      <c r="O1051" s="36"/>
    </row>
    <row r="1052">
      <c r="F1052" s="36"/>
      <c r="G1052" s="46"/>
      <c r="O1052" s="36"/>
    </row>
    <row r="1053">
      <c r="F1053" s="36"/>
      <c r="G1053" s="46"/>
      <c r="O1053" s="36"/>
    </row>
    <row r="1054">
      <c r="F1054" s="36"/>
      <c r="G1054" s="46"/>
      <c r="O1054" s="36"/>
    </row>
    <row r="1055">
      <c r="F1055" s="36"/>
      <c r="G1055" s="46"/>
      <c r="O1055" s="36"/>
    </row>
    <row r="1056">
      <c r="F1056" s="36"/>
      <c r="G1056" s="49"/>
      <c r="O1056" s="36"/>
    </row>
    <row r="1057">
      <c r="F1057" s="36"/>
      <c r="G1057" s="46"/>
      <c r="O1057" s="36"/>
    </row>
    <row r="1058">
      <c r="F1058" s="36"/>
      <c r="G1058" s="46"/>
      <c r="O1058" s="36"/>
    </row>
    <row r="1059">
      <c r="F1059" s="36"/>
      <c r="G1059" s="46"/>
      <c r="O1059" s="36"/>
    </row>
    <row r="1060">
      <c r="F1060" s="36"/>
      <c r="G1060" s="46"/>
      <c r="O1060" s="36"/>
    </row>
    <row r="1061">
      <c r="F1061" s="36"/>
      <c r="G1061" s="46"/>
      <c r="O1061" s="36"/>
    </row>
    <row r="1062">
      <c r="F1062" s="36"/>
      <c r="G1062" s="46"/>
      <c r="O1062" s="36"/>
    </row>
    <row r="1063">
      <c r="F1063" s="36"/>
      <c r="G1063" s="49"/>
      <c r="O1063" s="36"/>
    </row>
    <row r="1064">
      <c r="F1064" s="36"/>
      <c r="G1064" s="43"/>
      <c r="O1064" s="36"/>
    </row>
    <row r="1065">
      <c r="F1065" s="36"/>
      <c r="G1065" s="43"/>
      <c r="O1065" s="36"/>
    </row>
    <row r="1066">
      <c r="F1066" s="36"/>
      <c r="G1066" s="43"/>
      <c r="O1066" s="36"/>
    </row>
    <row r="1067">
      <c r="F1067" s="36"/>
      <c r="G1067" s="46"/>
      <c r="O1067" s="36"/>
    </row>
    <row r="1068">
      <c r="F1068" s="36"/>
      <c r="G1068" s="46"/>
      <c r="O1068" s="36"/>
    </row>
    <row r="1069">
      <c r="F1069" s="36"/>
      <c r="G1069" s="46"/>
      <c r="O1069" s="36"/>
    </row>
    <row r="1070">
      <c r="F1070" s="36"/>
      <c r="G1070" s="46"/>
      <c r="O1070" s="36"/>
    </row>
    <row r="1071">
      <c r="F1071" s="36"/>
      <c r="G1071" s="46"/>
      <c r="O1071" s="36"/>
    </row>
    <row r="1072">
      <c r="F1072" s="36"/>
      <c r="G1072" s="46"/>
      <c r="O1072" s="36"/>
    </row>
    <row r="1073">
      <c r="F1073" s="36"/>
      <c r="G1073" s="55"/>
      <c r="O1073" s="36"/>
    </row>
    <row r="1074">
      <c r="F1074" s="36"/>
      <c r="G1074" s="46"/>
      <c r="O1074" s="36"/>
    </row>
    <row r="1075">
      <c r="F1075" s="36"/>
      <c r="G1075" s="46"/>
      <c r="O1075" s="36"/>
    </row>
    <row r="1076">
      <c r="F1076" s="36"/>
      <c r="G1076" s="46"/>
      <c r="O1076" s="36"/>
    </row>
    <row r="1077">
      <c r="F1077" s="36"/>
      <c r="G1077" s="46"/>
      <c r="O1077" s="36"/>
    </row>
    <row r="1078">
      <c r="F1078" s="36"/>
      <c r="G1078" s="49"/>
      <c r="O1078" s="36"/>
    </row>
    <row r="1079">
      <c r="F1079" s="36"/>
      <c r="G1079" s="43"/>
      <c r="O1079" s="36"/>
    </row>
    <row r="1080">
      <c r="F1080" s="36"/>
      <c r="G1080" s="43"/>
      <c r="O1080" s="36"/>
    </row>
    <row r="1081">
      <c r="F1081" s="36"/>
      <c r="G1081" s="43"/>
      <c r="O1081" s="36"/>
    </row>
    <row r="1082">
      <c r="F1082" s="36"/>
      <c r="G1082" s="46"/>
      <c r="O1082" s="36"/>
    </row>
    <row r="1083">
      <c r="F1083" s="36"/>
      <c r="G1083" s="46"/>
      <c r="O1083" s="36"/>
    </row>
    <row r="1084">
      <c r="F1084" s="36"/>
      <c r="G1084" s="46"/>
      <c r="O1084" s="36"/>
    </row>
    <row r="1085">
      <c r="F1085" s="36"/>
      <c r="G1085" s="46"/>
      <c r="O1085" s="36"/>
    </row>
    <row r="1086">
      <c r="F1086" s="36"/>
      <c r="G1086" s="49"/>
      <c r="O1086" s="36"/>
    </row>
    <row r="1087">
      <c r="F1087" s="36"/>
      <c r="G1087" s="46"/>
      <c r="O1087" s="36"/>
    </row>
    <row r="1088">
      <c r="F1088" s="36"/>
      <c r="G1088" s="46"/>
      <c r="O1088" s="36"/>
    </row>
    <row r="1089">
      <c r="F1089" s="36"/>
      <c r="G1089" s="46"/>
      <c r="O1089" s="36"/>
    </row>
    <row r="1090">
      <c r="F1090" s="36"/>
      <c r="G1090" s="46"/>
      <c r="O1090" s="36"/>
    </row>
    <row r="1091">
      <c r="F1091" s="36"/>
      <c r="G1091" s="46"/>
      <c r="O1091" s="36"/>
    </row>
    <row r="1092">
      <c r="F1092" s="36"/>
      <c r="G1092" s="46"/>
      <c r="O1092" s="36"/>
    </row>
    <row r="1093">
      <c r="F1093" s="36"/>
      <c r="G1093" s="49"/>
      <c r="O1093" s="36"/>
    </row>
    <row r="1094">
      <c r="F1094" s="36"/>
      <c r="G1094" s="46"/>
      <c r="O1094" s="36"/>
    </row>
    <row r="1095">
      <c r="F1095" s="36"/>
      <c r="G1095" s="46"/>
      <c r="O1095" s="36"/>
    </row>
    <row r="1096">
      <c r="F1096" s="36"/>
      <c r="G1096" s="49"/>
      <c r="O1096" s="36"/>
    </row>
    <row r="1097">
      <c r="F1097" s="36"/>
      <c r="G1097" s="46"/>
      <c r="O1097" s="36"/>
    </row>
    <row r="1098">
      <c r="F1098" s="36"/>
      <c r="G1098" s="46"/>
      <c r="O1098" s="36"/>
    </row>
    <row r="1099">
      <c r="F1099" s="36"/>
      <c r="G1099" s="46"/>
      <c r="O1099" s="36"/>
    </row>
    <row r="1100">
      <c r="F1100" s="36"/>
      <c r="G1100" s="46"/>
      <c r="O1100" s="36"/>
    </row>
    <row r="1101">
      <c r="F1101" s="36"/>
      <c r="G1101" s="46"/>
      <c r="O1101" s="36"/>
    </row>
    <row r="1102">
      <c r="F1102" s="36"/>
      <c r="G1102" s="46"/>
      <c r="O1102" s="36"/>
    </row>
    <row r="1103">
      <c r="F1103" s="36"/>
      <c r="G1103" s="46"/>
      <c r="O1103" s="36"/>
    </row>
    <row r="1104">
      <c r="F1104" s="36"/>
      <c r="G1104" s="49"/>
      <c r="O1104" s="36"/>
    </row>
    <row r="1105">
      <c r="F1105" s="36"/>
      <c r="G1105" s="46"/>
      <c r="O1105" s="36"/>
    </row>
    <row r="1106">
      <c r="F1106" s="36"/>
      <c r="G1106" s="46"/>
      <c r="O1106" s="36"/>
    </row>
    <row r="1107">
      <c r="F1107" s="36"/>
      <c r="G1107" s="49"/>
      <c r="O1107" s="36"/>
    </row>
    <row r="1108">
      <c r="F1108" s="36"/>
      <c r="G1108" s="46"/>
      <c r="O1108" s="36"/>
    </row>
    <row r="1109">
      <c r="F1109" s="36"/>
      <c r="G1109" s="46"/>
      <c r="O1109" s="36"/>
    </row>
    <row r="1110">
      <c r="F1110" s="36"/>
      <c r="G1110" s="49"/>
      <c r="O1110" s="36"/>
    </row>
    <row r="1111">
      <c r="F1111" s="36"/>
      <c r="G1111" s="46"/>
      <c r="O1111" s="36"/>
    </row>
    <row r="1112">
      <c r="F1112" s="36"/>
      <c r="G1112" s="49"/>
      <c r="O1112" s="36"/>
    </row>
    <row r="1113">
      <c r="F1113" s="36"/>
      <c r="G1113" s="46"/>
      <c r="O1113" s="36"/>
    </row>
    <row r="1114">
      <c r="F1114" s="36"/>
      <c r="G1114" s="46"/>
      <c r="O1114" s="36"/>
    </row>
    <row r="1115">
      <c r="F1115" s="36"/>
      <c r="G1115" s="46"/>
      <c r="O1115" s="36"/>
    </row>
    <row r="1116">
      <c r="F1116" s="36"/>
      <c r="G1116" s="46"/>
      <c r="O1116" s="36"/>
    </row>
    <row r="1117">
      <c r="F1117" s="36"/>
      <c r="G1117" s="46"/>
      <c r="O1117" s="36"/>
    </row>
    <row r="1118">
      <c r="F1118" s="36"/>
      <c r="G1118" s="46"/>
      <c r="O1118" s="36"/>
    </row>
    <row r="1119">
      <c r="F1119" s="36"/>
      <c r="G1119" s="46"/>
      <c r="O1119" s="36"/>
    </row>
    <row r="1120">
      <c r="F1120" s="36"/>
      <c r="G1120" s="49"/>
      <c r="O1120" s="36"/>
    </row>
    <row r="1121">
      <c r="F1121" s="36"/>
      <c r="G1121" s="46"/>
      <c r="O1121" s="36"/>
    </row>
    <row r="1122">
      <c r="F1122" s="36"/>
      <c r="G1122" s="46"/>
      <c r="O1122" s="36"/>
    </row>
    <row r="1123">
      <c r="F1123" s="36"/>
      <c r="G1123" s="46"/>
      <c r="O1123" s="36"/>
    </row>
    <row r="1124">
      <c r="F1124" s="36"/>
      <c r="G1124" s="46"/>
      <c r="O1124" s="36"/>
    </row>
    <row r="1125">
      <c r="F1125" s="36"/>
      <c r="G1125" s="46"/>
      <c r="O1125" s="36"/>
    </row>
    <row r="1126">
      <c r="F1126" s="36"/>
      <c r="G1126" s="46"/>
      <c r="O1126" s="36"/>
    </row>
    <row r="1127">
      <c r="F1127" s="36"/>
      <c r="G1127" s="46"/>
      <c r="O1127" s="36"/>
    </row>
    <row r="1128">
      <c r="F1128" s="36"/>
      <c r="G1128" s="46"/>
      <c r="O1128" s="36"/>
    </row>
    <row r="1129">
      <c r="F1129" s="36"/>
      <c r="G1129" s="46"/>
      <c r="O1129" s="36"/>
    </row>
    <row r="1130">
      <c r="F1130" s="36"/>
      <c r="G1130" s="49"/>
      <c r="O1130" s="36"/>
    </row>
    <row r="1131">
      <c r="F1131" s="36"/>
      <c r="G1131" s="46"/>
      <c r="O1131" s="36"/>
    </row>
    <row r="1132">
      <c r="F1132" s="36"/>
      <c r="G1132" s="46"/>
      <c r="O1132" s="36"/>
    </row>
    <row r="1133">
      <c r="F1133" s="36"/>
      <c r="G1133" s="49"/>
      <c r="O1133" s="36"/>
    </row>
    <row r="1134">
      <c r="F1134" s="36"/>
      <c r="G1134" s="46"/>
      <c r="O1134" s="36"/>
    </row>
    <row r="1135">
      <c r="F1135" s="36"/>
      <c r="G1135" s="46"/>
      <c r="O1135" s="36"/>
    </row>
    <row r="1136">
      <c r="F1136" s="36"/>
      <c r="G1136" s="46"/>
      <c r="O1136" s="36"/>
    </row>
    <row r="1137">
      <c r="F1137" s="36"/>
      <c r="G1137" s="49"/>
      <c r="O1137" s="36"/>
    </row>
    <row r="1138">
      <c r="F1138" s="36"/>
      <c r="G1138" s="46"/>
      <c r="O1138" s="36"/>
    </row>
    <row r="1139">
      <c r="F1139" s="36"/>
      <c r="G1139" s="46"/>
      <c r="O1139" s="36"/>
    </row>
    <row r="1140">
      <c r="F1140" s="36"/>
      <c r="G1140" s="46"/>
      <c r="O1140" s="36"/>
    </row>
    <row r="1141">
      <c r="F1141" s="36"/>
      <c r="G1141" s="46"/>
      <c r="O1141" s="36"/>
    </row>
    <row r="1142">
      <c r="F1142" s="36"/>
      <c r="G1142" s="46"/>
      <c r="O1142" s="36"/>
    </row>
    <row r="1143">
      <c r="F1143" s="36"/>
      <c r="G1143" s="46"/>
      <c r="O1143" s="36"/>
    </row>
    <row r="1144">
      <c r="F1144" s="36"/>
      <c r="G1144" s="46"/>
      <c r="O1144" s="36"/>
    </row>
    <row r="1145">
      <c r="F1145" s="36"/>
      <c r="G1145" s="46"/>
      <c r="O1145" s="36"/>
    </row>
    <row r="1146">
      <c r="F1146" s="36"/>
      <c r="G1146" s="46"/>
      <c r="O1146" s="36"/>
    </row>
    <row r="1147">
      <c r="F1147" s="36"/>
      <c r="G1147" s="46"/>
      <c r="O1147" s="36"/>
    </row>
    <row r="1148">
      <c r="F1148" s="36"/>
      <c r="G1148" s="49"/>
      <c r="O1148" s="36"/>
    </row>
    <row r="1149">
      <c r="F1149" s="36"/>
      <c r="G1149" s="46"/>
      <c r="O1149" s="36"/>
    </row>
    <row r="1150">
      <c r="F1150" s="36"/>
      <c r="G1150" s="46"/>
      <c r="O1150" s="36"/>
    </row>
    <row r="1151">
      <c r="F1151" s="36"/>
      <c r="G1151" s="46"/>
      <c r="O1151" s="36"/>
    </row>
    <row r="1152">
      <c r="F1152" s="36"/>
      <c r="G1152" s="46"/>
      <c r="O1152" s="36"/>
    </row>
    <row r="1153">
      <c r="F1153" s="36"/>
      <c r="G1153" s="46"/>
      <c r="O1153" s="36"/>
    </row>
    <row r="1154">
      <c r="F1154" s="36"/>
      <c r="G1154" s="46"/>
      <c r="O1154" s="36"/>
    </row>
    <row r="1155">
      <c r="F1155" s="36"/>
      <c r="G1155" s="49"/>
      <c r="O1155" s="36"/>
    </row>
    <row r="1156">
      <c r="F1156" s="36"/>
      <c r="G1156" s="46"/>
      <c r="O1156" s="36"/>
    </row>
    <row r="1157">
      <c r="F1157" s="36"/>
      <c r="G1157" s="46"/>
      <c r="O1157" s="36"/>
    </row>
    <row r="1158">
      <c r="F1158" s="36"/>
      <c r="G1158" s="46"/>
      <c r="O1158" s="36"/>
    </row>
    <row r="1159">
      <c r="F1159" s="36"/>
      <c r="G1159" s="49"/>
      <c r="O1159" s="36"/>
    </row>
    <row r="1160">
      <c r="F1160" s="36"/>
      <c r="G1160" s="43"/>
      <c r="O1160" s="36"/>
    </row>
    <row r="1161">
      <c r="F1161" s="36"/>
      <c r="G1161" s="43"/>
      <c r="O1161" s="36"/>
    </row>
    <row r="1162">
      <c r="F1162" s="36"/>
      <c r="G1162" s="43"/>
      <c r="O1162" s="36"/>
    </row>
    <row r="1163">
      <c r="F1163" s="36"/>
      <c r="G1163" s="46"/>
      <c r="O1163" s="36"/>
    </row>
    <row r="1164">
      <c r="F1164" s="36"/>
      <c r="G1164" s="55"/>
      <c r="O1164" s="36"/>
    </row>
    <row r="1165">
      <c r="F1165" s="36"/>
      <c r="G1165" s="46"/>
      <c r="O1165" s="36"/>
    </row>
    <row r="1166">
      <c r="F1166" s="36"/>
      <c r="G1166" s="46"/>
      <c r="O1166" s="36"/>
    </row>
    <row r="1167">
      <c r="F1167" s="36"/>
      <c r="G1167" s="46"/>
      <c r="O1167" s="36"/>
    </row>
    <row r="1168">
      <c r="F1168" s="36"/>
      <c r="G1168" s="46"/>
      <c r="O1168" s="36"/>
    </row>
    <row r="1169">
      <c r="F1169" s="36"/>
      <c r="G1169" s="46"/>
      <c r="O1169" s="36"/>
    </row>
    <row r="1170">
      <c r="F1170" s="36"/>
      <c r="G1170" s="46"/>
      <c r="O1170" s="36"/>
    </row>
    <row r="1171">
      <c r="F1171" s="36"/>
      <c r="G1171" s="46"/>
      <c r="O1171" s="36"/>
    </row>
    <row r="1172">
      <c r="F1172" s="36"/>
      <c r="G1172" s="46"/>
      <c r="O1172" s="36"/>
    </row>
    <row r="1173">
      <c r="F1173" s="36"/>
      <c r="G1173" s="46"/>
      <c r="O1173" s="36"/>
    </row>
    <row r="1174">
      <c r="F1174" s="36"/>
      <c r="G1174" s="46"/>
      <c r="O1174" s="36"/>
    </row>
    <row r="1175">
      <c r="F1175" s="36"/>
      <c r="G1175" s="49"/>
      <c r="O1175" s="36"/>
    </row>
    <row r="1176">
      <c r="F1176" s="36"/>
      <c r="G1176" s="43"/>
      <c r="O1176" s="36"/>
    </row>
    <row r="1177">
      <c r="F1177" s="36"/>
      <c r="G1177" s="43"/>
      <c r="O1177" s="36"/>
    </row>
    <row r="1178">
      <c r="F1178" s="36"/>
      <c r="G1178" s="43"/>
      <c r="O1178" s="36"/>
    </row>
    <row r="1179">
      <c r="F1179" s="36"/>
      <c r="G1179" s="46"/>
      <c r="O1179" s="36"/>
    </row>
    <row r="1180">
      <c r="F1180" s="36"/>
      <c r="G1180" s="46"/>
      <c r="O1180" s="36"/>
    </row>
    <row r="1181">
      <c r="F1181" s="36"/>
      <c r="G1181" s="46"/>
      <c r="O1181" s="36"/>
    </row>
    <row r="1182">
      <c r="F1182" s="36"/>
      <c r="G1182" s="46"/>
      <c r="O1182" s="36"/>
    </row>
    <row r="1183">
      <c r="F1183" s="36"/>
      <c r="G1183" s="49"/>
      <c r="O1183" s="36"/>
    </row>
    <row r="1184">
      <c r="F1184" s="36"/>
      <c r="G1184" s="46"/>
      <c r="O1184" s="36"/>
    </row>
    <row r="1185">
      <c r="F1185" s="36"/>
      <c r="G1185" s="46"/>
      <c r="O1185" s="36"/>
    </row>
    <row r="1186">
      <c r="F1186" s="36"/>
      <c r="G1186" s="49"/>
      <c r="O1186" s="36"/>
    </row>
    <row r="1187">
      <c r="F1187" s="36"/>
      <c r="G1187" s="46"/>
      <c r="O1187" s="36"/>
    </row>
    <row r="1188">
      <c r="F1188" s="36"/>
      <c r="G1188" s="46"/>
      <c r="O1188" s="36"/>
    </row>
    <row r="1189">
      <c r="F1189" s="36"/>
      <c r="G1189" s="46"/>
      <c r="O1189" s="36"/>
    </row>
    <row r="1190">
      <c r="F1190" s="36"/>
      <c r="G1190" s="46"/>
      <c r="O1190" s="36"/>
    </row>
    <row r="1191">
      <c r="F1191" s="36"/>
      <c r="G1191" s="46"/>
      <c r="O1191" s="36"/>
    </row>
    <row r="1192">
      <c r="F1192" s="36"/>
      <c r="G1192" s="46"/>
      <c r="O1192" s="36"/>
    </row>
    <row r="1193">
      <c r="F1193" s="36"/>
      <c r="G1193" s="46"/>
      <c r="O1193" s="36"/>
    </row>
    <row r="1194">
      <c r="F1194" s="36"/>
      <c r="G1194" s="46"/>
      <c r="O1194" s="36"/>
    </row>
    <row r="1195">
      <c r="F1195" s="36"/>
      <c r="G1195" s="46"/>
      <c r="O1195" s="36"/>
    </row>
    <row r="1196">
      <c r="F1196" s="36"/>
      <c r="G1196" s="49"/>
      <c r="O1196" s="36"/>
    </row>
    <row r="1197">
      <c r="F1197" s="36"/>
      <c r="G1197" s="46"/>
      <c r="O1197" s="36"/>
    </row>
    <row r="1198">
      <c r="F1198" s="36"/>
      <c r="G1198" s="46"/>
      <c r="O1198" s="36"/>
    </row>
    <row r="1199">
      <c r="F1199" s="36"/>
      <c r="G1199" s="49"/>
      <c r="O1199" s="36"/>
    </row>
    <row r="1200">
      <c r="F1200" s="36"/>
      <c r="G1200" s="46"/>
      <c r="O1200" s="36"/>
    </row>
    <row r="1201">
      <c r="F1201" s="36"/>
      <c r="G1201" s="46"/>
      <c r="O1201" s="36"/>
    </row>
    <row r="1202">
      <c r="F1202" s="36"/>
      <c r="G1202" s="46"/>
      <c r="O1202" s="36"/>
    </row>
    <row r="1203">
      <c r="F1203" s="36"/>
      <c r="G1203" s="46"/>
      <c r="O1203" s="36"/>
    </row>
    <row r="1204">
      <c r="F1204" s="36"/>
      <c r="G1204" s="49"/>
      <c r="O1204" s="36"/>
    </row>
    <row r="1205">
      <c r="F1205" s="36"/>
      <c r="G1205" s="43"/>
      <c r="O1205" s="36"/>
    </row>
    <row r="1206">
      <c r="F1206" s="36"/>
      <c r="G1206" s="43"/>
      <c r="O1206" s="36"/>
    </row>
    <row r="1207">
      <c r="F1207" s="36"/>
      <c r="G1207" s="43"/>
      <c r="O1207" s="36"/>
    </row>
    <row r="1208">
      <c r="F1208" s="36"/>
      <c r="G1208" s="46"/>
      <c r="O1208" s="36"/>
    </row>
    <row r="1209">
      <c r="F1209" s="36"/>
      <c r="G1209" s="49"/>
      <c r="O1209" s="36"/>
    </row>
    <row r="1210">
      <c r="F1210" s="36"/>
      <c r="G1210" s="46"/>
      <c r="O1210" s="36"/>
    </row>
    <row r="1211">
      <c r="F1211" s="36"/>
      <c r="G1211" s="46"/>
      <c r="O1211" s="36"/>
    </row>
    <row r="1212">
      <c r="F1212" s="36"/>
      <c r="G1212" s="46"/>
      <c r="O1212" s="36"/>
    </row>
    <row r="1213">
      <c r="F1213" s="36"/>
      <c r="G1213" s="46"/>
      <c r="O1213" s="36"/>
    </row>
    <row r="1214">
      <c r="F1214" s="36"/>
      <c r="G1214" s="46"/>
      <c r="O1214" s="36"/>
    </row>
    <row r="1215">
      <c r="F1215" s="36"/>
      <c r="G1215" s="49"/>
      <c r="O1215" s="36"/>
    </row>
    <row r="1216">
      <c r="F1216" s="36"/>
      <c r="G1216" s="46"/>
      <c r="O1216" s="36"/>
    </row>
    <row r="1217">
      <c r="F1217" s="36"/>
      <c r="G1217" s="46"/>
      <c r="O1217" s="36"/>
    </row>
    <row r="1218">
      <c r="F1218" s="36"/>
      <c r="G1218" s="46"/>
      <c r="O1218" s="36"/>
    </row>
    <row r="1219">
      <c r="F1219" s="36"/>
      <c r="G1219" s="46"/>
      <c r="O1219" s="36"/>
    </row>
    <row r="1220">
      <c r="F1220" s="36"/>
      <c r="G1220" s="46"/>
      <c r="O1220" s="36"/>
    </row>
    <row r="1221">
      <c r="F1221" s="36"/>
      <c r="G1221" s="49"/>
      <c r="O1221" s="36"/>
    </row>
    <row r="1222">
      <c r="F1222" s="36"/>
      <c r="G1222" s="46"/>
      <c r="O1222" s="36"/>
    </row>
    <row r="1223">
      <c r="F1223" s="36"/>
      <c r="G1223" s="46"/>
      <c r="O1223" s="36"/>
    </row>
    <row r="1224">
      <c r="F1224" s="36"/>
      <c r="G1224" s="46"/>
      <c r="O1224" s="36"/>
    </row>
    <row r="1225">
      <c r="F1225" s="36"/>
      <c r="G1225" s="49"/>
      <c r="O1225" s="36"/>
    </row>
    <row r="1226">
      <c r="F1226" s="36"/>
      <c r="G1226" s="46"/>
      <c r="O1226" s="36"/>
    </row>
    <row r="1227">
      <c r="F1227" s="36"/>
      <c r="G1227" s="46"/>
      <c r="O1227" s="36"/>
    </row>
    <row r="1228">
      <c r="F1228" s="36"/>
      <c r="G1228" s="46"/>
      <c r="O1228" s="36"/>
    </row>
    <row r="1229">
      <c r="F1229" s="36"/>
      <c r="G1229" s="43"/>
      <c r="O1229" s="36"/>
    </row>
    <row r="1230">
      <c r="F1230" s="36"/>
      <c r="G1230" s="46"/>
      <c r="O1230" s="36"/>
    </row>
    <row r="1231">
      <c r="F1231" s="36"/>
      <c r="G1231" s="46"/>
      <c r="O1231" s="36"/>
    </row>
    <row r="1232">
      <c r="F1232" s="36"/>
      <c r="G1232" s="46"/>
      <c r="O1232" s="36"/>
    </row>
    <row r="1233">
      <c r="F1233" s="36"/>
      <c r="G1233" s="46"/>
      <c r="O1233" s="36"/>
    </row>
    <row r="1234">
      <c r="F1234" s="36"/>
      <c r="G1234" s="46"/>
      <c r="O1234" s="36"/>
    </row>
    <row r="1235">
      <c r="F1235" s="36"/>
      <c r="G1235" s="46"/>
      <c r="O1235" s="36"/>
    </row>
    <row r="1236">
      <c r="F1236" s="36"/>
      <c r="G1236" s="46"/>
      <c r="O1236" s="36"/>
    </row>
    <row r="1237">
      <c r="F1237" s="36"/>
      <c r="G1237" s="46"/>
      <c r="O1237" s="36"/>
    </row>
    <row r="1238">
      <c r="F1238" s="36"/>
      <c r="G1238" s="46"/>
      <c r="O1238" s="36"/>
    </row>
    <row r="1239">
      <c r="F1239" s="36"/>
      <c r="G1239" s="46"/>
      <c r="O1239" s="36"/>
    </row>
    <row r="1240">
      <c r="F1240" s="36"/>
      <c r="G1240" s="46"/>
      <c r="O1240" s="36"/>
    </row>
    <row r="1241">
      <c r="F1241" s="36"/>
      <c r="G1241" s="46"/>
      <c r="O1241" s="36"/>
    </row>
    <row r="1242">
      <c r="F1242" s="36"/>
      <c r="G1242" s="49"/>
      <c r="O1242" s="36"/>
    </row>
    <row r="1243">
      <c r="F1243" s="36"/>
      <c r="G1243" s="46"/>
      <c r="O1243" s="36"/>
    </row>
    <row r="1244">
      <c r="F1244" s="36"/>
      <c r="G1244" s="46"/>
      <c r="O1244" s="36"/>
    </row>
    <row r="1245">
      <c r="F1245" s="36"/>
      <c r="G1245" s="46"/>
      <c r="O1245" s="36"/>
    </row>
    <row r="1246">
      <c r="F1246" s="36"/>
      <c r="G1246" s="46"/>
      <c r="O1246" s="36"/>
    </row>
    <row r="1247">
      <c r="F1247" s="36"/>
      <c r="G1247" s="46"/>
      <c r="O1247" s="36"/>
    </row>
    <row r="1248">
      <c r="F1248" s="36"/>
      <c r="G1248" s="46"/>
      <c r="O1248" s="36"/>
    </row>
    <row r="1249">
      <c r="F1249" s="36"/>
      <c r="G1249" s="46"/>
      <c r="O1249" s="36"/>
    </row>
    <row r="1250">
      <c r="F1250" s="36"/>
      <c r="G1250" s="46"/>
      <c r="O1250" s="36"/>
    </row>
    <row r="1251">
      <c r="F1251" s="36"/>
      <c r="G1251" s="46"/>
      <c r="O1251" s="36"/>
    </row>
    <row r="1252">
      <c r="F1252" s="36"/>
      <c r="G1252" s="46"/>
      <c r="O1252" s="36"/>
    </row>
    <row r="1253">
      <c r="F1253" s="36"/>
      <c r="G1253" s="46"/>
      <c r="O1253" s="36"/>
    </row>
    <row r="1254">
      <c r="F1254" s="36"/>
      <c r="G1254" s="46"/>
      <c r="O1254" s="36"/>
    </row>
    <row r="1255">
      <c r="F1255" s="36"/>
      <c r="G1255" s="49"/>
      <c r="O1255" s="36"/>
    </row>
    <row r="1256">
      <c r="F1256" s="36"/>
      <c r="G1256" s="46"/>
      <c r="O1256" s="36"/>
    </row>
    <row r="1257">
      <c r="F1257" s="36"/>
      <c r="G1257" s="46"/>
      <c r="O1257" s="36"/>
    </row>
    <row r="1258">
      <c r="F1258" s="36"/>
      <c r="G1258" s="46"/>
      <c r="O1258" s="36"/>
    </row>
    <row r="1259">
      <c r="F1259" s="36"/>
      <c r="G1259" s="46"/>
      <c r="O1259" s="36"/>
    </row>
    <row r="1260">
      <c r="F1260" s="36"/>
      <c r="G1260" s="46"/>
      <c r="O1260" s="36"/>
    </row>
    <row r="1261">
      <c r="F1261" s="36"/>
      <c r="G1261" s="46"/>
      <c r="O1261" s="36"/>
    </row>
    <row r="1262">
      <c r="F1262" s="36"/>
      <c r="G1262" s="46"/>
      <c r="O1262" s="36"/>
    </row>
    <row r="1263">
      <c r="F1263" s="36"/>
      <c r="G1263" s="46"/>
      <c r="O1263" s="36"/>
    </row>
    <row r="1264">
      <c r="F1264" s="36"/>
      <c r="G1264" s="46"/>
      <c r="O1264" s="36"/>
    </row>
    <row r="1265">
      <c r="F1265" s="36"/>
      <c r="G1265" s="46"/>
      <c r="O1265" s="36"/>
    </row>
    <row r="1266">
      <c r="F1266" s="36"/>
      <c r="G1266" s="46"/>
      <c r="O1266" s="36"/>
    </row>
    <row r="1267">
      <c r="F1267" s="36"/>
      <c r="G1267" s="49"/>
      <c r="O1267" s="36"/>
    </row>
    <row r="1268">
      <c r="F1268" s="36"/>
      <c r="G1268" s="46"/>
      <c r="O1268" s="36"/>
    </row>
    <row r="1269">
      <c r="F1269" s="36"/>
      <c r="G1269" s="46"/>
      <c r="O1269" s="36"/>
    </row>
    <row r="1270">
      <c r="F1270" s="36"/>
      <c r="G1270" s="49"/>
      <c r="O1270" s="36"/>
    </row>
    <row r="1271">
      <c r="F1271" s="36"/>
      <c r="G1271" s="43"/>
      <c r="O1271" s="36"/>
    </row>
    <row r="1272">
      <c r="F1272" s="36"/>
      <c r="G1272" s="43"/>
      <c r="O1272" s="36"/>
    </row>
    <row r="1273">
      <c r="F1273" s="36"/>
      <c r="G1273" s="43"/>
      <c r="O1273" s="36"/>
    </row>
    <row r="1274">
      <c r="F1274" s="36"/>
      <c r="G1274" s="46"/>
      <c r="O1274" s="36"/>
    </row>
    <row r="1275">
      <c r="F1275" s="36"/>
      <c r="G1275" s="46"/>
      <c r="O1275" s="36"/>
    </row>
    <row r="1276">
      <c r="F1276" s="36"/>
      <c r="G1276" s="46"/>
      <c r="O1276" s="36"/>
    </row>
    <row r="1277">
      <c r="F1277" s="36"/>
      <c r="G1277" s="46"/>
      <c r="O1277" s="36"/>
    </row>
    <row r="1278">
      <c r="F1278" s="36"/>
      <c r="G1278" s="46"/>
      <c r="O1278" s="36"/>
    </row>
    <row r="1279">
      <c r="F1279" s="36"/>
      <c r="G1279" s="46"/>
      <c r="O1279" s="36"/>
    </row>
    <row r="1280">
      <c r="F1280" s="36"/>
      <c r="G1280" s="46"/>
      <c r="O1280" s="36"/>
    </row>
    <row r="1281">
      <c r="F1281" s="36"/>
      <c r="G1281" s="46"/>
      <c r="O1281" s="36"/>
    </row>
    <row r="1282">
      <c r="F1282" s="36"/>
      <c r="G1282" s="46"/>
      <c r="O1282" s="36"/>
    </row>
    <row r="1283">
      <c r="F1283" s="36"/>
      <c r="G1283" s="46"/>
      <c r="O1283" s="36"/>
    </row>
    <row r="1284">
      <c r="F1284" s="36"/>
      <c r="G1284" s="46"/>
      <c r="O1284" s="36"/>
    </row>
    <row r="1285">
      <c r="F1285" s="36"/>
      <c r="G1285" s="46"/>
      <c r="O1285" s="36"/>
    </row>
    <row r="1286">
      <c r="F1286" s="36"/>
      <c r="G1286" s="46"/>
      <c r="O1286" s="36"/>
    </row>
    <row r="1287">
      <c r="F1287" s="36"/>
      <c r="G1287" s="46"/>
      <c r="O1287" s="36"/>
    </row>
    <row r="1288">
      <c r="F1288" s="36"/>
      <c r="G1288" s="49"/>
      <c r="O1288" s="36"/>
    </row>
    <row r="1289">
      <c r="F1289" s="36"/>
      <c r="G1289" s="46"/>
      <c r="O1289" s="36"/>
    </row>
    <row r="1290">
      <c r="F1290" s="36"/>
      <c r="G1290" s="46"/>
      <c r="O1290" s="36"/>
    </row>
    <row r="1291">
      <c r="F1291" s="36"/>
      <c r="G1291" s="46"/>
      <c r="O1291" s="36"/>
    </row>
    <row r="1292">
      <c r="F1292" s="36"/>
      <c r="G1292" s="46"/>
      <c r="O1292" s="36"/>
    </row>
    <row r="1293">
      <c r="F1293" s="36"/>
      <c r="G1293" s="46"/>
      <c r="O1293" s="36"/>
    </row>
    <row r="1294">
      <c r="F1294" s="36"/>
      <c r="G1294" s="46"/>
      <c r="O1294" s="36"/>
    </row>
    <row r="1295">
      <c r="F1295" s="36"/>
      <c r="G1295" s="46"/>
      <c r="O1295" s="36"/>
    </row>
    <row r="1296">
      <c r="F1296" s="36"/>
      <c r="G1296" s="49"/>
      <c r="O1296" s="36"/>
    </row>
    <row r="1297">
      <c r="F1297" s="36"/>
      <c r="G1297" s="43"/>
      <c r="O1297" s="36"/>
    </row>
    <row r="1298">
      <c r="F1298" s="36"/>
      <c r="G1298" s="43"/>
      <c r="O1298" s="36"/>
    </row>
    <row r="1299">
      <c r="F1299" s="36"/>
      <c r="G1299" s="43"/>
      <c r="O1299" s="36"/>
    </row>
    <row r="1300">
      <c r="F1300" s="36"/>
      <c r="G1300" s="46"/>
      <c r="O1300" s="36"/>
    </row>
    <row r="1301">
      <c r="F1301" s="36"/>
      <c r="G1301" s="46"/>
      <c r="O1301" s="36"/>
    </row>
    <row r="1302">
      <c r="F1302" s="36"/>
      <c r="G1302" s="46"/>
      <c r="O1302" s="36"/>
    </row>
    <row r="1303">
      <c r="F1303" s="36"/>
      <c r="G1303" s="46"/>
      <c r="O1303" s="36"/>
    </row>
    <row r="1304">
      <c r="F1304" s="36"/>
      <c r="G1304" s="46"/>
      <c r="O1304" s="36"/>
    </row>
    <row r="1305">
      <c r="F1305" s="36"/>
      <c r="G1305" s="49"/>
      <c r="O1305" s="36"/>
    </row>
    <row r="1306">
      <c r="F1306" s="36"/>
      <c r="G1306" s="43"/>
      <c r="O1306" s="36"/>
    </row>
    <row r="1307">
      <c r="F1307" s="36"/>
      <c r="G1307" s="43"/>
      <c r="O1307" s="36"/>
    </row>
    <row r="1308">
      <c r="F1308" s="36"/>
      <c r="G1308" s="43"/>
      <c r="O1308" s="36"/>
    </row>
    <row r="1309">
      <c r="F1309" s="36"/>
      <c r="G1309" s="46"/>
      <c r="O1309" s="36"/>
    </row>
    <row r="1310">
      <c r="F1310" s="36"/>
      <c r="G1310" s="46"/>
      <c r="O1310" s="36"/>
    </row>
    <row r="1311">
      <c r="F1311" s="36"/>
      <c r="G1311" s="46"/>
      <c r="O1311" s="36"/>
    </row>
    <row r="1312">
      <c r="F1312" s="36"/>
      <c r="G1312" s="46"/>
      <c r="O1312" s="36"/>
    </row>
    <row r="1313">
      <c r="F1313" s="36"/>
      <c r="G1313" s="46"/>
      <c r="O1313" s="36"/>
    </row>
    <row r="1314">
      <c r="F1314" s="36"/>
      <c r="G1314" s="46"/>
      <c r="O1314" s="36"/>
    </row>
    <row r="1315">
      <c r="F1315" s="36"/>
      <c r="G1315" s="46"/>
      <c r="O1315" s="36"/>
    </row>
    <row r="1316">
      <c r="F1316" s="36"/>
      <c r="G1316" s="46"/>
      <c r="O1316" s="36"/>
    </row>
    <row r="1317">
      <c r="F1317" s="36"/>
      <c r="G1317" s="49"/>
      <c r="O1317" s="36"/>
    </row>
    <row r="1318">
      <c r="F1318" s="36"/>
      <c r="G1318" s="46"/>
      <c r="O1318" s="36"/>
    </row>
    <row r="1319">
      <c r="F1319" s="36"/>
      <c r="G1319" s="46"/>
      <c r="O1319" s="36"/>
    </row>
    <row r="1320">
      <c r="F1320" s="36"/>
      <c r="G1320" s="46"/>
      <c r="O1320" s="36"/>
    </row>
    <row r="1321">
      <c r="F1321" s="36"/>
      <c r="G1321" s="46"/>
      <c r="O1321" s="36"/>
    </row>
    <row r="1322">
      <c r="F1322" s="36"/>
      <c r="G1322" s="46"/>
      <c r="O1322" s="36"/>
    </row>
    <row r="1323">
      <c r="F1323" s="36"/>
      <c r="G1323" s="49"/>
      <c r="O1323" s="36"/>
    </row>
    <row r="1324">
      <c r="F1324" s="36"/>
      <c r="G1324" s="43"/>
      <c r="O1324" s="36"/>
    </row>
    <row r="1325">
      <c r="F1325" s="36"/>
      <c r="G1325" s="43"/>
      <c r="O1325" s="36"/>
    </row>
    <row r="1326">
      <c r="F1326" s="36"/>
      <c r="G1326" s="43"/>
      <c r="O1326" s="36"/>
    </row>
    <row r="1327">
      <c r="F1327" s="36"/>
      <c r="G1327" s="46"/>
      <c r="O1327" s="36"/>
    </row>
    <row r="1328">
      <c r="F1328" s="36"/>
      <c r="G1328" s="46"/>
      <c r="O1328" s="36"/>
    </row>
    <row r="1329">
      <c r="F1329" s="36"/>
      <c r="G1329" s="42"/>
      <c r="O1329" s="36"/>
    </row>
    <row r="1330">
      <c r="F1330" s="36"/>
      <c r="G1330" s="42"/>
      <c r="O1330" s="36"/>
    </row>
    <row r="1331">
      <c r="F1331" s="36"/>
      <c r="G1331" s="42"/>
      <c r="O1331" s="36"/>
    </row>
  </sheetData>
  <hyperlinks>
    <hyperlink r:id="rId1" ref="A2"/>
    <hyperlink r:id="rId2" ref="A3"/>
    <hyperlink r:id="rId3" ref="A6"/>
    <hyperlink r:id="rId4" ref="A10"/>
    <hyperlink r:id="rId5" ref="A14"/>
    <hyperlink r:id="rId6" ref="A15"/>
  </hyperlinks>
  <drawing r:id="rId7"/>
</worksheet>
</file>