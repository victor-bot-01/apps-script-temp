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ário" sheetId="1" r:id="rId5"/>
    <sheet state="visible" name="Status_Inativos" sheetId="2" r:id="rId6"/>
    <sheet state="visible" name="Validade" sheetId="3" r:id="rId7"/>
  </sheets>
  <definedNames/>
  <calcPr/>
</workbook>
</file>

<file path=xl/sharedStrings.xml><?xml version="1.0" encoding="utf-8"?>
<sst xmlns="http://schemas.openxmlformats.org/spreadsheetml/2006/main" count="698" uniqueCount="517">
  <si>
    <t>Lista de Pedidos Pendentes</t>
  </si>
  <si>
    <t>Localização</t>
  </si>
  <si>
    <t>Pasta P1</t>
  </si>
  <si>
    <t>Qt.</t>
  </si>
  <si>
    <t>Caixa Profumos 65ml</t>
  </si>
  <si>
    <t>Caixa Óleos Roll On</t>
  </si>
  <si>
    <t>Caixa Perf. Fem. Natural 10ml</t>
  </si>
  <si>
    <t>Caixa Perf. Masc. Natural 10ml</t>
  </si>
  <si>
    <t>Caixa P/ Uso 10ml</t>
  </si>
  <si>
    <t>Caixa Blend 10ml</t>
  </si>
  <si>
    <t>Mesa Cinza</t>
  </si>
  <si>
    <t>Caixa Absolu 10ml</t>
  </si>
  <si>
    <t>Caixa Elixir 10ml</t>
  </si>
  <si>
    <t>Caixa Vidro Alto 100ml</t>
  </si>
  <si>
    <t>Caixa Aromatizador 250ml</t>
  </si>
  <si>
    <t>Caixa Essência 60ml / 100ml</t>
  </si>
  <si>
    <t>Caixa Difusor 100ml</t>
  </si>
  <si>
    <t>Caixa Perfume 30ml</t>
  </si>
  <si>
    <t>Caixa Essência 10ml</t>
  </si>
  <si>
    <t>Caixa Óleos 10ml</t>
  </si>
  <si>
    <t>Caixa Col. Botânica 10ml</t>
  </si>
  <si>
    <t>Caixa Col. Botânica 50ml</t>
  </si>
  <si>
    <t>Caixa Perf. Fem. 100ml</t>
  </si>
  <si>
    <t>Caixa Perf. Fem. Natural 100ml</t>
  </si>
  <si>
    <t>Caixa Perf. Fem. Natural 50ml</t>
  </si>
  <si>
    <t>Caixa Perfumes 65ml</t>
  </si>
  <si>
    <t>Caixa Perf. Masc. Eti. Preta / Outras</t>
  </si>
  <si>
    <t>Difusor Cravo E Canela 100ml</t>
  </si>
  <si>
    <t>Não Encontrado</t>
  </si>
  <si>
    <t>P/ Uso O. Roll On Anis Estrelado 10ml</t>
  </si>
  <si>
    <t>Roll On O. Anis Estrelado 10ml</t>
  </si>
  <si>
    <t>Profumo 002 - 65ml</t>
  </si>
  <si>
    <t>O. Roll On Eucalipto Citriodora 10ml</t>
  </si>
  <si>
    <t>Perf. Fem. Roll On Flor de Artemísia 10ml Natural</t>
  </si>
  <si>
    <t>Perf. Masc. Roll On Benjoim 10ml Natural</t>
  </si>
  <si>
    <t>P/ Uso O. Roll On Alfazema 10ml</t>
  </si>
  <si>
    <t>Perf. Masc. Roll On Patchouli &amp; Pau Rosa 10ml</t>
  </si>
  <si>
    <t>Perf. Fem. Alfazema &amp; Olíbano 100ml</t>
  </si>
  <si>
    <t>Perf. Masc. Absolu Hortelã 100ml</t>
  </si>
  <si>
    <t>Perf. Fem. Elixir Dama da Noite 100ml</t>
  </si>
  <si>
    <t>Perf. Masc. Madeira e Pimenta 100ml (Vidro Alto)</t>
  </si>
  <si>
    <t>Aromatizador 250ml - Cereja com Avelã</t>
  </si>
  <si>
    <t>E. Bubaloo 60ml</t>
  </si>
  <si>
    <t>Difusor Lavanda 100ml</t>
  </si>
  <si>
    <t>Perf. Fem. Liberty 30ml</t>
  </si>
  <si>
    <t>E. Bubaloo 10ml</t>
  </si>
  <si>
    <t>O. Erva Baleeira 10ml</t>
  </si>
  <si>
    <t>Perf. Fem. Roll On Artemísia Marroquina 10ml (Col. Botânica)</t>
  </si>
  <si>
    <t>Perf. Fem. Artemísia Marroquina 50ml (Col. Botânica)</t>
  </si>
  <si>
    <t>Perf. Fem. Arabian 100ml</t>
  </si>
  <si>
    <t>Perf. Fem. Lavanda Inglesa 100ml Natural</t>
  </si>
  <si>
    <t>Perf. Fem. Rosas Vermelhas 50ml Natural</t>
  </si>
  <si>
    <t>Perf. Fem. Afrodite 65ml</t>
  </si>
  <si>
    <t>Perf. Masc. Raízes da África 100ml (Eti. Preta)</t>
  </si>
  <si>
    <t>Earth 100ml Masculino</t>
  </si>
  <si>
    <t>P/ Uso O. Roll On Alecrim 10ml</t>
  </si>
  <si>
    <t>Roll On O. Alecrim 10ml</t>
  </si>
  <si>
    <t>Profumo 014 - 65ml</t>
  </si>
  <si>
    <t>O. Roll On Orégano 10ml</t>
  </si>
  <si>
    <t>Perf. Fem. Roll On Lavanda Suíça 10ml Natural</t>
  </si>
  <si>
    <t>Perf. Masc. Roll On Lemongrass 10ml Natural</t>
  </si>
  <si>
    <t>P/ Uso O. Roll On Ylang Ylang 10ml</t>
  </si>
  <si>
    <t>Perf. Masc. Roll On Patchouli &amp; Madeira Nobre 10ml</t>
  </si>
  <si>
    <t>Perf. Fem. Almíscar Oriental &amp; Canela 100ml</t>
  </si>
  <si>
    <t>Perf. Masc. Absolu Tangerina 100ml</t>
  </si>
  <si>
    <t>Perf. Fem. Elixir Flor de Jasmim 100ml</t>
  </si>
  <si>
    <t>Perf. Masc. Sândalo 100ml (Vidro Alto)</t>
  </si>
  <si>
    <t>Aromatizador 250ml - Vanilla</t>
  </si>
  <si>
    <t>E. Sementes do Brasil 60ml</t>
  </si>
  <si>
    <t>Difusor Eucalipto 100ml</t>
  </si>
  <si>
    <t>Perf. Fem. Luna Rosas 30ml</t>
  </si>
  <si>
    <t>E. Flor de Campo 10ml</t>
  </si>
  <si>
    <t>O. Cardamomo 10ml</t>
  </si>
  <si>
    <t>Perf. Fem. Roll On Gerânio Elegante 10ml (Col. Botânica)</t>
  </si>
  <si>
    <t>Perf. Fem. Limão Siciliano 50ml (Col. Botânica)</t>
  </si>
  <si>
    <t>Perf. Fem. Silences 100ml</t>
  </si>
  <si>
    <t>Perf. Fem. Flor de Jasmim 100ml Natural</t>
  </si>
  <si>
    <t>Perf. Fem. Flor de Laranjeira 50ml Natural</t>
  </si>
  <si>
    <t>Perf. Masc. Amber 100ml (Eti. Preta)</t>
  </si>
  <si>
    <t>O. Louro 20ml</t>
  </si>
  <si>
    <t>P/ Uso O. Roll On Artemísia 10ml</t>
  </si>
  <si>
    <t>Roll On O. Alfazema 10ml</t>
  </si>
  <si>
    <t>Profumo 027 - 65ml</t>
  </si>
  <si>
    <t>O. Roll On Citronela 10ml</t>
  </si>
  <si>
    <t>Perf. Fem. Roll On Flor de Angélica 10ml Natural</t>
  </si>
  <si>
    <t>Perf. Masc. Roll On Limão Siciliano 10ml Natural</t>
  </si>
  <si>
    <t>P/ Uso O. Roll On Litsea Cubeba 10ml</t>
  </si>
  <si>
    <t>Perf. Fem. Roll On Gerânio &amp; Ylang Ylang 10ml</t>
  </si>
  <si>
    <t>Perf. Fem. Baunilha &amp; Canela 100ml</t>
  </si>
  <si>
    <t>Perf. Masc. Absolu Girassol 100ml</t>
  </si>
  <si>
    <t>Perf. Fem. Elixir Rosas Vermelhas 100ml</t>
  </si>
  <si>
    <t>Perf. Masc. Tabac Patchouli 100ml (Vidro Alto)</t>
  </si>
  <si>
    <t>Aromatizador 250ml - Flor de Laranjeira</t>
  </si>
  <si>
    <t>E. Flor de Laranjeira 60ml</t>
  </si>
  <si>
    <t>Difusor Hortelã Pimenta 100ml</t>
  </si>
  <si>
    <t>Perf. Fem. Roses 30ml</t>
  </si>
  <si>
    <t>E. Cascas e Folhas 10ml</t>
  </si>
  <si>
    <t>O. Yuzu Japão 10ml</t>
  </si>
  <si>
    <t>Perf. Fem. Roll On Grapefruit Vibrante 10ml (Col. Botânica)</t>
  </si>
  <si>
    <t>Perf. Fem. Olíbano Sagrado 50ml (Col. Botânica)</t>
  </si>
  <si>
    <t>Perf. Fem. Lady Noir 100ml</t>
  </si>
  <si>
    <t>Perf. Fem. Flor de Maçã 100ml Natural</t>
  </si>
  <si>
    <t>Perf. Masc. Amadeirado 100ml (Eti. Preta)</t>
  </si>
  <si>
    <t>O. Poejo 10ml</t>
  </si>
  <si>
    <t>P/ Uso O. Roll On Basilicão 10ml</t>
  </si>
  <si>
    <t>Roll On O. Basilicão 10ml</t>
  </si>
  <si>
    <t>Profumo 047 - 65ml</t>
  </si>
  <si>
    <t>O. Roll On Lemongrass 10ml</t>
  </si>
  <si>
    <t>Perf. Fem. Roll On Notas de Alecrim 10ml Natural</t>
  </si>
  <si>
    <t>Perf. Masc. Roll On Mandarina Verde 10ml Natural</t>
  </si>
  <si>
    <t>P/ Uso O. Roll On Orégano 10ml</t>
  </si>
  <si>
    <t>Perf. Fem. Roll On Patchouli &amp; Ylang Ylang 10ml</t>
  </si>
  <si>
    <t>Perf. Fem. Baunilha &amp; Cravo da Índia 100ml</t>
  </si>
  <si>
    <t>Perf. Masc. Absolu Patchouli 100ml</t>
  </si>
  <si>
    <t>Perf. Fem. Elixir Flor de Laranjeira 100ml</t>
  </si>
  <si>
    <t>Perf. Masc. Alecrim do Marrocos 100ml (Vidro Alto)</t>
  </si>
  <si>
    <t>Aromatizador 250ml - Versailles Vanilla Bouborn</t>
  </si>
  <si>
    <t>E. Baunilha 60ml</t>
  </si>
  <si>
    <t>Perf. Fem. Madame Paris 30ml</t>
  </si>
  <si>
    <t>E. Guaraná 10ml</t>
  </si>
  <si>
    <t>O. Tuia Europa 10ml</t>
  </si>
  <si>
    <t>Perf. Fem. Roll On Ho Wood Elegante 10ml (Col. Botânica)</t>
  </si>
  <si>
    <t>Perf. Fem. Tangerina Radiante 50ml (Col. Botânica)</t>
  </si>
  <si>
    <t>Perf. Fem. Volcan D' Amour 100ml</t>
  </si>
  <si>
    <t>Perf. Fem. Rosas Vermelhas 100ml Natural</t>
  </si>
  <si>
    <t>Perf. Masc. Sheik 100ml (Eti. Laranja)</t>
  </si>
  <si>
    <t>O. Roll On Poejo 10ml</t>
  </si>
  <si>
    <t>P/ Uso O. Roll On Bergamota 10ml</t>
  </si>
  <si>
    <t>Roll On O. Copaíba 10ml</t>
  </si>
  <si>
    <t>Profumo 058 - 65ml</t>
  </si>
  <si>
    <t>O. Roll On Cedro da Virgínia 10ml</t>
  </si>
  <si>
    <t>Perf. Fem. Roll On Mirra 10ml Natural</t>
  </si>
  <si>
    <t>Perf. Masc. Roll On Noz Moscada 10ml Natural</t>
  </si>
  <si>
    <t>P/ Uso O. Roll On Limão Siciliano 10ml</t>
  </si>
  <si>
    <t>Perf. Fem. Roll On Baunilha &amp; Patchouli 10ml</t>
  </si>
  <si>
    <t>Perf. Fem. Baunilha &amp; Grapefruit 100ml</t>
  </si>
  <si>
    <t>Perf. Masc. Absolu Madeira Nobre 100ml</t>
  </si>
  <si>
    <t>Perf. Fem. Elixir Lírios 100ml</t>
  </si>
  <si>
    <t>Perf. Masc. Petitgrain do Paraguai 100ml (Vidro Alto)</t>
  </si>
  <si>
    <t>Aromatizador 250ml - Bambu</t>
  </si>
  <si>
    <t>E. Pinho 60ml</t>
  </si>
  <si>
    <t>Perf. Fem. Volcan D'Amour 30ml</t>
  </si>
  <si>
    <t>E. Jabuticaba 10ml</t>
  </si>
  <si>
    <t>O. Pinho 10ml</t>
  </si>
  <si>
    <t>Perf. Fem. Roll On Laranja Amarga Solar 10ml (Col. Botânica)</t>
  </si>
  <si>
    <t>Perf. Masc. Laranja Amarga Solar 50ml (Col. Botânica)</t>
  </si>
  <si>
    <t>Perf. Fem. Rose Floral 100ml</t>
  </si>
  <si>
    <t>O. V. Café Verde 30ml</t>
  </si>
  <si>
    <t>P/ Uso O. Roll On Benjoim 10ml</t>
  </si>
  <si>
    <t>Roll On O. Cravo Folha 10ml</t>
  </si>
  <si>
    <t>Profumo 082 - 65ml</t>
  </si>
  <si>
    <t>O. Roll On Alfazema 10ml</t>
  </si>
  <si>
    <t>Perf. Fem. Roll On Patchouli 10ml Natural</t>
  </si>
  <si>
    <t>Perf. Masc. Roll On Ylang Ylang 10ml Natural</t>
  </si>
  <si>
    <t>P/ Uso O. Roll On Inspirar 10ml (Eti. Amarela)</t>
  </si>
  <si>
    <t>Perf. Fem. Roll On Baunilha &amp; Canela 10ml</t>
  </si>
  <si>
    <t>Perf. Fem. Baunilha &amp; Limão Siciliano 100ml</t>
  </si>
  <si>
    <t>Perf. Masc. Absolu Ylang Ylang 100ml</t>
  </si>
  <si>
    <t>Perf. Fem. Elixir Camomila 100ml</t>
  </si>
  <si>
    <t>Perf. Masc. Oud Madeira 100ml (Vidro Alto)</t>
  </si>
  <si>
    <t>Aromatizador 250ml - Alfazema</t>
  </si>
  <si>
    <t>E. Floral Frutal 60ml</t>
  </si>
  <si>
    <t>Perf. Fem. Afrodite 30ml</t>
  </si>
  <si>
    <t>E. Amora 10ml</t>
  </si>
  <si>
    <t>O. Lavanda da Bulgária 10ml</t>
  </si>
  <si>
    <t>Perf. Fem. Roll On Laranja Doce Brilhante 10ml (Col. Botânica)</t>
  </si>
  <si>
    <t>O. V. Girassol 100ml</t>
  </si>
  <si>
    <t>P/ Uso O. Roll On Copaíba 10ml</t>
  </si>
  <si>
    <t>Roll On O. Funcho Doce 10ml</t>
  </si>
  <si>
    <t>Profumo 096 - 65ml</t>
  </si>
  <si>
    <t>O. Roll On Patchouli Dark 10ml</t>
  </si>
  <si>
    <t>Perf. Fem. Roll On Palmarosa 10ml Natural</t>
  </si>
  <si>
    <t>Perf. Masc. Spray Benjoim 10ml Natural</t>
  </si>
  <si>
    <t>Perf. Fem. Baunilha &amp; Patchouli 100ml</t>
  </si>
  <si>
    <t>Perf. Masc. Absolu Menta 100ml</t>
  </si>
  <si>
    <t>Perf. Fem. Elixir Gardênia 100ml</t>
  </si>
  <si>
    <t>Perf. Masc. Sultan 100ml (Vidro Alto)</t>
  </si>
  <si>
    <t>Aromatizador 250ml - Algodão</t>
  </si>
  <si>
    <t>E. Maçã Madura 60ml</t>
  </si>
  <si>
    <t>Perf. Fem. Jasmine 30ml</t>
  </si>
  <si>
    <t>E. Bambu 10ml</t>
  </si>
  <si>
    <t>O. Grapefruit da Espanha 10ml</t>
  </si>
  <si>
    <t>Perf. Fem. Roll On Lavanda da França 10ml (Col. Botânica)</t>
  </si>
  <si>
    <t>O. V. R. Mosqueta 30ml</t>
  </si>
  <si>
    <t>P/ Uso O. Roll On Canela 10ml</t>
  </si>
  <si>
    <t>Roll On O. Cedro da Virgínia 10ml</t>
  </si>
  <si>
    <t>Profumo 109 - 65ml</t>
  </si>
  <si>
    <t>O. Roll On Alecrim 10ml</t>
  </si>
  <si>
    <t>Perf. Fem. Spray Flor de Artemísia 10ml Natural</t>
  </si>
  <si>
    <t>Perf. Masc. Spray Lemongrass 10ml Natural</t>
  </si>
  <si>
    <t>Perf. Fem. Baunilha &amp; Rosa Branca 100ml</t>
  </si>
  <si>
    <t>Perf. Masc. Absolu Bergamota 100ml</t>
  </si>
  <si>
    <t>Perf. Fem. Elixir Flor de Lótus 100ml</t>
  </si>
  <si>
    <t>Perf. Masc. Pinho da Sibéria 100ml (Vidro Alto)</t>
  </si>
  <si>
    <t>Aromatizador 250ml - Dama da Noite</t>
  </si>
  <si>
    <t>E. Chiclete 60ml</t>
  </si>
  <si>
    <t>Perf. Masc. Dark Code 30ml</t>
  </si>
  <si>
    <t>E. Cereja 10ml</t>
  </si>
  <si>
    <t>Perf. Fem. Roll On Lavandim Energia 10ml (Col. Botânica)</t>
  </si>
  <si>
    <t>O. V. Sementes De Uva - 100ml</t>
  </si>
  <si>
    <t>P/ Uso O. Roll On Cânfora Branca 10ml</t>
  </si>
  <si>
    <t>Roll On O. Citronela 10ml</t>
  </si>
  <si>
    <t>Profumo 117 - 65ml</t>
  </si>
  <si>
    <t>O. Roll On Limão Siciliano 10ml</t>
  </si>
  <si>
    <t>Perf. Fem. Spray Lavanda Suíça 10ml Natural</t>
  </si>
  <si>
    <t>Perf. Masc. Spray Limão Siciliano 10ml Natural</t>
  </si>
  <si>
    <t>Perf. Fem. Bergamota &amp; Gengibre 100ml</t>
  </si>
  <si>
    <t>Perf. Masc. Absolu Noz-moscada 100ml</t>
  </si>
  <si>
    <t>Perf. Fem. Elixir Cravo Flor 100ml</t>
  </si>
  <si>
    <t>Perf. Masc. Copaíba da Amazônia 100ml (Vidro Alto)</t>
  </si>
  <si>
    <t>Aromatizador 250ml - Chá Branco</t>
  </si>
  <si>
    <t>E. Dama da Noite 60ml</t>
  </si>
  <si>
    <t>E. Pitanga 10ml</t>
  </si>
  <si>
    <t>Perf. Fem. Roll On May Chang da China 10ml (Col. Botânica)</t>
  </si>
  <si>
    <t>P/ Uso Roll On O. Olíbano 10ml</t>
  </si>
  <si>
    <t>P/ Uso O. Roll On Cravo Folha 10ml</t>
  </si>
  <si>
    <t>Roll On O. Cipreste 10ml</t>
  </si>
  <si>
    <t>Profumo 166 - 65ml</t>
  </si>
  <si>
    <t>O. Roll On Menta Spicata 10ml</t>
  </si>
  <si>
    <t>Perf. Fem. Spray Flor de Angélica 10ml Natural</t>
  </si>
  <si>
    <t>Perf. Masc. Spray Mandarina Verde 10ml Natural</t>
  </si>
  <si>
    <t>Perf. Fem. Canela &amp; Olíbano 100ml</t>
  </si>
  <si>
    <t>Perf. Masc. Absolu Manjerona 100ml</t>
  </si>
  <si>
    <t>Perf. Masc. Le Tabac 100ml (Vidro Alto)</t>
  </si>
  <si>
    <t>Aromatizador 250ml - Alfazema &amp; Baunilha</t>
  </si>
  <si>
    <t>E. Pera &amp; Frésia 60ml</t>
  </si>
  <si>
    <t>E. Damasco 10ml</t>
  </si>
  <si>
    <t>Perf. Fem. Roll On Petitgrain Vibrante 10ml (Col. Botânica)</t>
  </si>
  <si>
    <t>Patchouli Singapura 50ml</t>
  </si>
  <si>
    <t>P/ Uso O. Roll On Cravo Botão 10ml</t>
  </si>
  <si>
    <t>Roll On O. Cedro Atlas 10ml</t>
  </si>
  <si>
    <t>Profumo 169 - 65ml</t>
  </si>
  <si>
    <t>O. Roll On Eucalipto Staigeriana 10ml</t>
  </si>
  <si>
    <t>Perf. Fem. Spray Notas de Alecrim 10ml Natural</t>
  </si>
  <si>
    <t>Perf. Masc. Spray Noz Moscada 10ml Natural</t>
  </si>
  <si>
    <t>Perf. Fem. Cravo da Índia &amp; Canela 100ml</t>
  </si>
  <si>
    <t>Perf. Fem. Erva Doce da Espanha 100ml (Vidro Alto)</t>
  </si>
  <si>
    <t>Aromatizador 250ml - Limão Siciliano</t>
  </si>
  <si>
    <t>E. Lavanda Inglesa 60ml</t>
  </si>
  <si>
    <t>E. Pera 10ml</t>
  </si>
  <si>
    <t>Perf. Fem. Roll On Wintergreen Refrescante 10ml (Col. Botânica)</t>
  </si>
  <si>
    <t>Perf. Cedro &amp; Limão Siciliano 100ml Fem.</t>
  </si>
  <si>
    <t>P/ Uso O. Roll On Cedro da Virgínia 10ml</t>
  </si>
  <si>
    <t>Roll On O. Capim Limão 10ml</t>
  </si>
  <si>
    <t>Profumo 178 - 65ml</t>
  </si>
  <si>
    <t>O. Roll On Copaíba 10ml</t>
  </si>
  <si>
    <t>Perf. Fem. Spray Mirra 10ml Natural</t>
  </si>
  <si>
    <t>Perf. Masc. Spray Ylang Ylang 10ml Natural</t>
  </si>
  <si>
    <t>Perf. Fem. Dama da Noite &amp; Alfazema 100ml</t>
  </si>
  <si>
    <t>Perf. Masc. Absolu Patchouli Puro 100ml</t>
  </si>
  <si>
    <t>Perf. Masc. Cipreste da Toscana 100ml (Vidro Alto)</t>
  </si>
  <si>
    <t>Aromatizador 250ml - Hortelã</t>
  </si>
  <si>
    <t>E. Rosas 100ml</t>
  </si>
  <si>
    <t>E. Pêssego 10ml</t>
  </si>
  <si>
    <t>Perf. Fem. Roll On Ylang Ylang Exuberante 10ml (Col. Botânica)</t>
  </si>
  <si>
    <t>Perf. Eros Masc. - Spray Portátil 10ml</t>
  </si>
  <si>
    <t>P/ Uso O. Roll On Citronela 10ml</t>
  </si>
  <si>
    <t>Roll On O. Eucalipto Globulus 10ml</t>
  </si>
  <si>
    <t>Profumo 182 - 65ml</t>
  </si>
  <si>
    <t>O. Roll On Laranja Amarga 10ml</t>
  </si>
  <si>
    <t>Perf. Fem. Spray Patchouli 10ml Natural</t>
  </si>
  <si>
    <t>Perf. Masc. Spray Patchouli Puro 10ml (Kit) Natural</t>
  </si>
  <si>
    <t>Perf. Fem. Dama da Noite &amp; Baunilha 100ml</t>
  </si>
  <si>
    <t>Perf. Masc. Absolu Olíbano 100ml</t>
  </si>
  <si>
    <t>Aromatizador 250ml - Baunilha</t>
  </si>
  <si>
    <t>E. Bambu e Chá Branco 60ml</t>
  </si>
  <si>
    <t>E. Chiclete 10ml</t>
  </si>
  <si>
    <t>Perf. Fem. Spray Artemísia Marroquina 10ml (Col. Botânica)</t>
  </si>
  <si>
    <t>Perf. Fem. Afrodite 100ml</t>
  </si>
  <si>
    <t>P/ Uso O. Roll On Cipreste 10ml</t>
  </si>
  <si>
    <t>Roll On O. Eucalipto Citriodora 10ml</t>
  </si>
  <si>
    <t>Profumo 186 - 65ml</t>
  </si>
  <si>
    <t>Perf. Fem. Spray Palmarosa 10ml Natural</t>
  </si>
  <si>
    <t>Perf. Masc. Roll On Patchouli Puro 10ml (Kit) Natural</t>
  </si>
  <si>
    <t>Perf. Fem. Dama da Noite &amp; Mirra 100ml</t>
  </si>
  <si>
    <t>Perf. Masc. Absolu Limão Siciliano 100ml</t>
  </si>
  <si>
    <t>Aromatizador 250ml - Maçã Verde</t>
  </si>
  <si>
    <t>E. Bambu 60ml</t>
  </si>
  <si>
    <t>Perf. Fem. Spray Gerânio Elegante 10ml (Col. Botânica)</t>
  </si>
  <si>
    <t>Perf. Fem. Afrodite 50ml</t>
  </si>
  <si>
    <t>P/ Uso O. Roll On Cedro Atlas 10ml</t>
  </si>
  <si>
    <t>Roll On O. Eucalipto Staigeriana 10ml</t>
  </si>
  <si>
    <t>Profumo 225 - 65ml</t>
  </si>
  <si>
    <t>Perf. Fem. Spray Pau Rosa 10ml Natural</t>
  </si>
  <si>
    <t>Perf. Masc. Roll On Gerânio 10ml Natural</t>
  </si>
  <si>
    <t>Perf. Fem. Dama da Noite &amp; Olíbano 100ml</t>
  </si>
  <si>
    <t>Perf. Masc. Absolu Flor de Laranjeira 100ml</t>
  </si>
  <si>
    <t>Aromatizador 250ml - Alecrim</t>
  </si>
  <si>
    <t>E. Tutti-Frutti 60ml</t>
  </si>
  <si>
    <t>Perf. Fem. Spray Grapefruit Vibrante 10ml (Col. Botânica)</t>
  </si>
  <si>
    <t>Perf. Fem. Flor De Maçã 100ml Natural</t>
  </si>
  <si>
    <t>P/ Uso O. Roll On Capim Limão 10ml</t>
  </si>
  <si>
    <t>Roll On O. Grapefruit 10ml</t>
  </si>
  <si>
    <t>Profumo 231 - 65ml</t>
  </si>
  <si>
    <t>Perf. Fem. Roll On Pau Rosa 10ml Natural</t>
  </si>
  <si>
    <t>Perf. Masc. Spray Gerânio 10ml Natural</t>
  </si>
  <si>
    <t>Perf. Fem. Flor de Jasmim &amp; Baunilha 100ml</t>
  </si>
  <si>
    <t>Perf. Masc. Absolu Cedro 100ml</t>
  </si>
  <si>
    <t>Aromatizador 250ml - Chocolate</t>
  </si>
  <si>
    <t>E. Pera 60ml</t>
  </si>
  <si>
    <t>Perf. Fem. Spray Ho Wood Elegante 10ml (Col. Botânica)</t>
  </si>
  <si>
    <t>P/ Uso O. Roll On Eucalipto Globulus 10ml</t>
  </si>
  <si>
    <t>Roll On O. Hortelã Pimenta 10ml</t>
  </si>
  <si>
    <t>Profumo 261 - 65ml</t>
  </si>
  <si>
    <t>Perf. Fem. Roll On Flor de Lótus 10ml Natural</t>
  </si>
  <si>
    <t>Perf. Masc. Roll On Bergamota 10ml Natural</t>
  </si>
  <si>
    <t>Perf. Fem. Flor de Jasmim &amp; Cedro 100ml</t>
  </si>
  <si>
    <t>Perf. Masc. Absolu Almíscar Oriental 100ml</t>
  </si>
  <si>
    <t>Aromatizador 250ml - Bamboo</t>
  </si>
  <si>
    <t>E. Rosas 60ml</t>
  </si>
  <si>
    <t>Perf. Fem. Spray Laranja Amarga Solar 10ml (Col. Botânica)</t>
  </si>
  <si>
    <t>Perf. Manjerona Herbal Masc. 100ml</t>
  </si>
  <si>
    <t>P/ Uso O. Roll On Eucalipto Citriodora 10ml</t>
  </si>
  <si>
    <t>Roll On O. Limão Tahiti 10ml</t>
  </si>
  <si>
    <t>Profumo 272 - 65ml</t>
  </si>
  <si>
    <t>Perf. Fem. Roll On Lima-Limão 10ml Natural</t>
  </si>
  <si>
    <t>Perf. Masc. Spray Bergamota 10ml Natural</t>
  </si>
  <si>
    <t>Perf. Fem. Gardênia &amp; Flor de Maçã 100ml</t>
  </si>
  <si>
    <t>Perf. Masc. Absolu Benjoim 100ml</t>
  </si>
  <si>
    <t>E. Priprioca 60ml</t>
  </si>
  <si>
    <t>Perf. Fem. Spray Laranja Doce Brilhante 10ml (Col. Botânica)</t>
  </si>
  <si>
    <t>Perf. Masc. Monsieur 100ml</t>
  </si>
  <si>
    <t>P/ Uso O. Roll On Eucalipto Staigeriana 10ml</t>
  </si>
  <si>
    <t>Roll On O. Lavandim 10ml</t>
  </si>
  <si>
    <t>Profumo 311 - 65ml</t>
  </si>
  <si>
    <t>Perf. Fem. Roll On Dama da Noite 10ml Natural</t>
  </si>
  <si>
    <t>Perf. Masc. Spray Petitgrain 10ml Natural</t>
  </si>
  <si>
    <t>Perf. Fem. Hortelã &amp; Menta Adventure 100ml</t>
  </si>
  <si>
    <t>Perf. Masc. Absolu Cítrico 100ml</t>
  </si>
  <si>
    <t>E. Jasmim 60ml</t>
  </si>
  <si>
    <t>Perf. Fem. Spray Lavanda da França 10ml (Col. Botânica)</t>
  </si>
  <si>
    <t>Perf. Olíbano Sagrado Fem. 100ml (Col. Botânica)</t>
  </si>
  <si>
    <t>P/ Uso O. Roll On Grapefruit 10ml</t>
  </si>
  <si>
    <t>Roll On O. Laranja Amarga 10ml</t>
  </si>
  <si>
    <t>Profumo 325 - 65ml</t>
  </si>
  <si>
    <t>Perf. Fem. Spray Flor de Lótus 10ml Natural</t>
  </si>
  <si>
    <t>Perf. Masc. Roll On Petitgrain 10ml Natural</t>
  </si>
  <si>
    <t>Perf. Fem. Lavanda &amp; Limão Siciliano 100ml</t>
  </si>
  <si>
    <t>E. Chá Branco 60ml</t>
  </si>
  <si>
    <t>Perf. Fem. Spray Lavandim Energia 10ml (Col. Botânica)</t>
  </si>
  <si>
    <t>Perf. Patchouli &amp; Ylang Ylang 100ml Fem.</t>
  </si>
  <si>
    <t>P/ Uso O. Roll On Gengibre 10ml</t>
  </si>
  <si>
    <t>Roll On O. Limão Siciliano 10ml</t>
  </si>
  <si>
    <t>Profumo 351 - 65ml</t>
  </si>
  <si>
    <t>Perf. Fem. Spray Lima-Limão 10ml Natural</t>
  </si>
  <si>
    <t>Perf. Fem. Lavanda &amp; Verbena 100ml</t>
  </si>
  <si>
    <t>E. Patchouli 60ml</t>
  </si>
  <si>
    <t>Perf. Fem. Spray May Chang da China 10ml (Col. Botânica)</t>
  </si>
  <si>
    <t>Perf. Roll On Patchouli Dark Misterioso Fem. 10ml (Col. Botânica)</t>
  </si>
  <si>
    <t>P/ Uso O. Roll On Gerânio 10ml</t>
  </si>
  <si>
    <t>Roll On O. Manjerona 10ml</t>
  </si>
  <si>
    <t>Profumo 374 - 65ml</t>
  </si>
  <si>
    <t>Perf. Fem. Spray Dama da Noite 10ml Natural</t>
  </si>
  <si>
    <t>Perf. Fem. Lima-Limão &amp; Patchouli 100ml</t>
  </si>
  <si>
    <t>Perf. Fem. Spray Petitgrain Vibrante 10ml (Col. Botânica)</t>
  </si>
  <si>
    <t>Perf. Spray Limão Siciliano Radiante Fem. 10ml (Col. Botânica)</t>
  </si>
  <si>
    <t>P/ Uso O. Roll On Ho Wood 10ml</t>
  </si>
  <si>
    <t>Roll On O. Menta Spicata 10ml</t>
  </si>
  <si>
    <t>Profumo 394 - 65ml</t>
  </si>
  <si>
    <t>Perf. Fem. Roll On Gardênia 10ml Natural</t>
  </si>
  <si>
    <t>Perf. Fem. Notas de Alecrim &amp; Lavanda 100ml</t>
  </si>
  <si>
    <t>Perf. Fem. Spray Wintergreen Refrescante 10ml (Col. Botânica)</t>
  </si>
  <si>
    <t>Perf. Spray Sinergia 18 - 10ml</t>
  </si>
  <si>
    <t>P/ Uso O. Roll On Hortelã Pimenta 10ml</t>
  </si>
  <si>
    <t>Roll On O. Melaleuca 10ml</t>
  </si>
  <si>
    <t>Profumo 399 - 65ml</t>
  </si>
  <si>
    <t>Perf. Fem. Roll On Erva Doce 10ml Natural</t>
  </si>
  <si>
    <t>Perf. Fem. Olíbano &amp; Mirra 100ml</t>
  </si>
  <si>
    <t>Perf. Fem. Spray Ylang Ylang Exuberante 10ml (Col. Botânica)</t>
  </si>
  <si>
    <t>Perf. Spray Tangerina Radiante Masc. 10ml (Col. Botânica)</t>
  </si>
  <si>
    <t>P/ Uso O. Roll On Limão Tahiti 10ml</t>
  </si>
  <si>
    <t>Roll On O. Menta Arvensis 10ml</t>
  </si>
  <si>
    <t>Profumo 409 - 65ml</t>
  </si>
  <si>
    <t>Perf. Fem. Roll On Sálvia 10ml Natural</t>
  </si>
  <si>
    <t>Perf. Fem. Patchouli &amp; Mirra 100ml</t>
  </si>
  <si>
    <t>Perf. Masc. Roll On Capim Limão 10ml (Col. Botânica)</t>
  </si>
  <si>
    <t>Perf. Spray Ylang Ylang Exuberante Fem. 10ml (Col. Botânica)</t>
  </si>
  <si>
    <t>Roll On O. Pimenta Rosa 10ml</t>
  </si>
  <si>
    <t>Profumo 413 - 65ml</t>
  </si>
  <si>
    <t>Perf. Fem. Roll On Petitgrain 10ml Natural</t>
  </si>
  <si>
    <t>Perf. Fem. Rosas Vermelhas &amp; Olíbano 100ml</t>
  </si>
  <si>
    <t>Perf. Masc. Roll On Cipreste Imperial 10ml (Col. Botânica)</t>
  </si>
  <si>
    <t>Perf. Tuberosa 28 - 60ml</t>
  </si>
  <si>
    <t>P/ Uso O. Roll On Laranja Doce 10ml</t>
  </si>
  <si>
    <t>Roll On O. Patchouli 10ml</t>
  </si>
  <si>
    <t>Profumo 416 - 65ml</t>
  </si>
  <si>
    <t>Perf. Fem. Spray Gardênia 10ml Natural</t>
  </si>
  <si>
    <t>Perf. Fem. Sexy Cravo Flor &amp; Canela 100ml</t>
  </si>
  <si>
    <t>Perf. Masc. Roll On Copaíba Amazônica 10ml (Col. Botânica)</t>
  </si>
  <si>
    <t>P/ Uso O. Roll On Louro 10ml</t>
  </si>
  <si>
    <t>Roll On O. Pimenta Preta 10ml</t>
  </si>
  <si>
    <t>Profumo 634 - 65ml</t>
  </si>
  <si>
    <t>Perf. Fem. Spray Erva Doce 10ml Natural</t>
  </si>
  <si>
    <t>Perf. Fem. Ylang Ylang &amp; Mirra 100ml</t>
  </si>
  <si>
    <t>Perf. Masc. Roll On Cravo Intenso 10ml (Col. Botânica)</t>
  </si>
  <si>
    <t>P/ Uso O. Roll On Lavanda 10ml</t>
  </si>
  <si>
    <t>Roll On O. Sândalo 10ml</t>
  </si>
  <si>
    <t>Profumo 642 - 65ml</t>
  </si>
  <si>
    <t>Perf. Fem. Spray Sálvia 10ml Natural</t>
  </si>
  <si>
    <t>Perf. Masc. Roll On Eucalipto Refrescante 10ml (Col. Botânica)</t>
  </si>
  <si>
    <t>P/ Uso O. Roll On Lavandim 10ml</t>
  </si>
  <si>
    <t>Roll On O. Tangerina 10ml</t>
  </si>
  <si>
    <t>Profumo 718 - 65ml</t>
  </si>
  <si>
    <t>Perf. Fem. Spray Petitgrain 10ml Natural</t>
  </si>
  <si>
    <t>Perf. Masc. Roll On Gerânio Elegante 10ml (Col. Botânica)</t>
  </si>
  <si>
    <t>P/ Uso O. Roll On Lemongrass 10ml</t>
  </si>
  <si>
    <t>Roll On O. Wintergreen 10ml</t>
  </si>
  <si>
    <t>Profumo 729 - 65ml</t>
  </si>
  <si>
    <t>Perf. Fem. Spray Anis 10ml Natural</t>
  </si>
  <si>
    <t>Perf. Masc. Roll On Laranja Amarga Solar 10ml (Col. Botânica)</t>
  </si>
  <si>
    <t>P/ Uso O. Roll On Laranja Amarga 10ml</t>
  </si>
  <si>
    <t>Profumo 783 - 65ml</t>
  </si>
  <si>
    <t>Perf. Fem. Roll On Anis 10ml Natural</t>
  </si>
  <si>
    <t>Perf. Masc. Roll On Laranja Doce Brilhante 10ml (Col. Botânica)</t>
  </si>
  <si>
    <t>Profumo 797 - 65ml</t>
  </si>
  <si>
    <t>Perf. Masc. Roll On Lavanda da França 10ml (Col. Botânica)</t>
  </si>
  <si>
    <t>P/ Uso O. Roll On Manjerona 10ml</t>
  </si>
  <si>
    <t>Profumo 902 - 65ml</t>
  </si>
  <si>
    <t>Perf. Masc. Roll On Limão Siciliano 10ml (Col. Botânica)</t>
  </si>
  <si>
    <t>P/ Uso O. Roll On Menta Spicata 10ml</t>
  </si>
  <si>
    <t>Profumo 916 - 65ml</t>
  </si>
  <si>
    <t>Perf. Masc. Roll On Limão Tahiti 10ml (Col. Botânica)</t>
  </si>
  <si>
    <t>P/ Uso O. Roll On Mandarina 10ml</t>
  </si>
  <si>
    <t>Profumo 921 - 65ml</t>
  </si>
  <si>
    <t>Perf. Masc. Roll On Mandarina Verde 10ml (Col. Botânica)</t>
  </si>
  <si>
    <t>P/ Uso O. Roll On Melaleuca 10ml</t>
  </si>
  <si>
    <t>Profumo 946 - 65ml</t>
  </si>
  <si>
    <t>Perf. Masc. Roll On Manjerona Herbal 10ml (Col. Botânica)</t>
  </si>
  <si>
    <t>P/ Uso O. Roll On Menta Arvensis 10ml</t>
  </si>
  <si>
    <t>Profumo 950 - 65ml</t>
  </si>
  <si>
    <t>Perf. Masc. Roll On Menta Refrescante 10ml (Col. Botânica)</t>
  </si>
  <si>
    <t>P/ Uso O. Roll On Noz Moscada 10ml</t>
  </si>
  <si>
    <t>Profumo 951 - 65ml</t>
  </si>
  <si>
    <t>Perf. Masc. Roll On Olíbano Sagrado 10ml (Col. Botânica)</t>
  </si>
  <si>
    <t>Profumo 954 - 65ml</t>
  </si>
  <si>
    <t>Perf. Masc. Roll On Orégano Gourmand 10ml (Col. Botânica)</t>
  </si>
  <si>
    <t>P/ Uso O. Roll On Olíbano 10ml</t>
  </si>
  <si>
    <t>Profumo 970 - 65ml</t>
  </si>
  <si>
    <t>Perf. Masc. Roll On Patchouli Dark Misterioso 10ml (Col. Botânica)</t>
  </si>
  <si>
    <t>P/ Uso O. Roll On Pimenta Rosa 10ml</t>
  </si>
  <si>
    <t>Profumo 266 - 65ml</t>
  </si>
  <si>
    <t>Perf. Masc. Roll On Tangerina Radiante 10ml (Col. Botânica)</t>
  </si>
  <si>
    <t>P/ Uso O. Roll On Palmarosa 10ml</t>
  </si>
  <si>
    <t>Profumo 926 - 65ml</t>
  </si>
  <si>
    <t>Perf. Masc. Roll On Ylang Ylang Exuberante 10ml (Col. Botânica)</t>
  </si>
  <si>
    <t>P/ Uso O. Roll On Patchouli 10ml</t>
  </si>
  <si>
    <t>Profumo 750 - 65ml</t>
  </si>
  <si>
    <t>Perf. Masc. Spray Capim Limão 10ml (Col. Botânica)</t>
  </si>
  <si>
    <t>P/ Uso O. Roll On Pimenta Preta 10ml</t>
  </si>
  <si>
    <t>Profumo 905 - 65ml</t>
  </si>
  <si>
    <t>Perf. Masc. Spray Cipreste Imperial 10ml (Col. Botânica)</t>
  </si>
  <si>
    <t>P/ Uso O. Roll On Sálvia 10ml</t>
  </si>
  <si>
    <t>Profumo 092 - 65ml</t>
  </si>
  <si>
    <t>Perf. Masc. Spray Copaíba Amazônica 10ml (Col. Botânica)</t>
  </si>
  <si>
    <t>P/ Uso O. Roll On Sândalo 10ml</t>
  </si>
  <si>
    <t>Profumo 937 - 65ml</t>
  </si>
  <si>
    <t>Perf. Masc. Spray Cravo Intenso 10ml (Col. Botânica)</t>
  </si>
  <si>
    <t>P/ Uso O. Roll On Tangerina 10ml</t>
  </si>
  <si>
    <t>Profumo 378 - 65ml</t>
  </si>
  <si>
    <t>Perf. Masc. Spray Eucalipto Refrescante 10ml (Col. Botânica)</t>
  </si>
  <si>
    <t>P/ Uso O. Roll On Tomilho 10ml</t>
  </si>
  <si>
    <t>Profumo 804 - 65ml</t>
  </si>
  <si>
    <t>Perf. Masc. Spray Gerânio Elegante 10ml (Col. Botânica)</t>
  </si>
  <si>
    <t>P/ Uso O. Roll On Wintergreen 10ml</t>
  </si>
  <si>
    <t>Perf. Masc. Spray Laranja Amarga Solar 10ml (Col. Botânica)</t>
  </si>
  <si>
    <t>Perf. Masc. Spray Laranja Doce Brilhante 10ml (Col. Botânica)</t>
  </si>
  <si>
    <t>P/ Uso O. Roll On Zímbro 10ml</t>
  </si>
  <si>
    <t>Perf. Masc. Spray Lavanda da França 10ml (Col. Botânica)</t>
  </si>
  <si>
    <t>Perf. Masc. Spray Limão Siciliano 10ml (Col. Botânica)</t>
  </si>
  <si>
    <t>Perf. Masc. Spray Limão Tahiti 10ml (Col. Botânica)</t>
  </si>
  <si>
    <t>Perf. Masc. Spray Mandarina Verde 10ml (Col. Botânica)</t>
  </si>
  <si>
    <t>Perf. Masc. Spray Manjerona Herbal 10ml (Col. Botânica)</t>
  </si>
  <si>
    <t>Perf. Masc. Spray Menta Refrescante 10ml (Col. Botânica)</t>
  </si>
  <si>
    <t>Perf. Masc. Spray Olíbano Sagrado 10ml (Col. Botânica)</t>
  </si>
  <si>
    <t>Perf. Masc. Spray Orégano Gourmand 10ml (Col. Botânica)</t>
  </si>
  <si>
    <t>Perf. Masc. Spray Patchouli Dark Misterioso 10ml (Col. Botânica)</t>
  </si>
  <si>
    <t>Perf. Masc. Spray Tangerina Radiante 10ml (Col. Botânica)</t>
  </si>
  <si>
    <t>Perf. Masc. Spray Ylang Ylang Exuberante 10ml (Col. Botânica)</t>
  </si>
  <si>
    <t>Perf. Masc. Roll On Louro Nobre Romano 10ml (Col. Botânica)</t>
  </si>
  <si>
    <t>Perf. Masc. Spray Louro Nobre Romano 10ml (Col. Botânica)</t>
  </si>
  <si>
    <t>Produto</t>
  </si>
  <si>
    <t>Caixa</t>
  </si>
  <si>
    <t xml:space="preserve">Código de Barras
</t>
  </si>
  <si>
    <t>Data Produção Etiqueta</t>
  </si>
  <si>
    <t>Lote</t>
  </si>
  <si>
    <t>Validade</t>
  </si>
  <si>
    <t>Dias Restantes</t>
  </si>
  <si>
    <t>Status</t>
  </si>
  <si>
    <t>Precisa Produzir</t>
  </si>
  <si>
    <t>Estoque</t>
  </si>
  <si>
    <t>Observação</t>
  </si>
  <si>
    <t>----</t>
  </si>
  <si>
    <t>Almíscar Selvagem Masculino</t>
  </si>
  <si>
    <t>001/25</t>
  </si>
  <si>
    <t>TEMOS</t>
  </si>
  <si>
    <t>Attar Masculino</t>
  </si>
  <si>
    <t>Attraction Feminino</t>
  </si>
  <si>
    <t>Attraction Masculino</t>
  </si>
  <si>
    <t>002/25</t>
  </si>
  <si>
    <t>Arabian Masculino</t>
  </si>
  <si>
    <t>001/26</t>
  </si>
  <si>
    <t>Dama da Noite Feminino</t>
  </si>
  <si>
    <t>Dark Code Masculino</t>
  </si>
  <si>
    <t>Dark Tabac Masculino</t>
  </si>
  <si>
    <t>Genérica</t>
  </si>
  <si>
    <t>Golf Blue Masculino</t>
  </si>
  <si>
    <t>Limão Siciliano Masculino</t>
  </si>
  <si>
    <t>Oceanus Masculino</t>
  </si>
  <si>
    <t>Opium Chine Feminino</t>
  </si>
  <si>
    <t>Patchouli Dark Misterioso Feminino</t>
  </si>
  <si>
    <t>Patchouli Dark Misterioso Masculino</t>
  </si>
  <si>
    <t>Patchouli Feminino</t>
  </si>
  <si>
    <t>Patchouli Masculino</t>
  </si>
  <si>
    <t>Patchouli Puro Masculino</t>
  </si>
  <si>
    <t>Pure Instinct Feminino</t>
  </si>
  <si>
    <t>Tabac Patchouli Masculino</t>
  </si>
  <si>
    <t>Eros Masculino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</si>
</sst>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yyyy"/>
    <numFmt numFmtId="165" formatCode="dd/mm/yyyy"/>
  </numFmts>
  <fonts count="7">
    <font>
      <sz val="10.0"/>
      <color rgb="FF000000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0" fillId="0" fontId="2" numFmtId="0" xfId="0" applyFont="1"/>
    <xf borderId="0" fillId="0" fontId="3" numFmtId="49" xfId="0" applyAlignment="1" applyFont="1" applyNumberFormat="1">
      <alignment vertical="bottom"/>
    </xf>
    <xf borderId="0" fillId="0" fontId="4" numFmtId="0" xfId="0" applyAlignment="1" applyFont="1">
      <alignment horizontal="right" readingOrder="0" vertical="bottom"/>
    </xf>
    <xf borderId="0" fillId="0" fontId="2" numFmtId="0" xfId="0" applyAlignment="1" applyFont="1">
      <alignment readingOrder="0"/>
    </xf>
    <xf borderId="0" fillId="6" fontId="2" numFmtId="0" xfId="0" applyFill="1" applyFont="1"/>
    <xf borderId="0" fillId="7" fontId="2" numFmtId="0" xfId="0" applyAlignment="1" applyFill="1" applyFont="1">
      <alignment readingOrder="0"/>
    </xf>
    <xf borderId="0" fillId="6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49" xfId="0" applyAlignment="1" applyFont="1" applyNumberFormat="1">
      <alignment vertical="bottom"/>
    </xf>
    <xf borderId="0" fillId="0" fontId="4" numFmtId="1" xfId="0" applyAlignment="1" applyFont="1" applyNumberFormat="1">
      <alignment vertical="bottom"/>
    </xf>
    <xf borderId="0" fillId="0" fontId="4" numFmtId="0" xfId="0" applyAlignment="1" applyFont="1">
      <alignment shrinkToFit="0" vertical="bottom" wrapText="0"/>
    </xf>
    <xf borderId="0" fillId="0" fontId="4" numFmtId="49" xfId="0" applyAlignment="1" applyFont="1" applyNumberFormat="1">
      <alignment shrinkToFit="0" vertical="bottom" wrapText="0"/>
    </xf>
    <xf borderId="0" fillId="0" fontId="4" numFmtId="1" xfId="0" applyAlignment="1" applyFont="1" applyNumberFormat="1">
      <alignment shrinkToFit="0" vertical="bottom" wrapText="0"/>
    </xf>
    <xf borderId="0" fillId="0" fontId="3" numFmtId="49" xfId="0" applyAlignment="1" applyFont="1" applyNumberFormat="1">
      <alignment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6" numFmtId="0" xfId="0" applyAlignment="1" applyFill="1" applyFont="1">
      <alignment readingOrder="0" shrinkToFit="0" vertical="center" wrapText="0"/>
    </xf>
    <xf borderId="0" fillId="9" fontId="6" numFmtId="0" xfId="0" applyAlignment="1" applyFill="1" applyFont="1">
      <alignment readingOrder="0" shrinkToFit="0" vertical="center" wrapText="0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readingOrder="0"/>
    </xf>
    <xf borderId="0" fillId="0" fontId="6" numFmtId="0" xfId="0" applyFont="1"/>
    <xf borderId="0" fillId="0" fontId="6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0.88"/>
    <col customWidth="1" min="2" max="2" width="20.5"/>
    <col customWidth="1" min="3" max="3" width="17.63"/>
    <col customWidth="1" min="4" max="4" width="3.75"/>
    <col customWidth="1" min="5" max="5" width="17.63"/>
    <col customWidth="1" min="6" max="6" width="3.75"/>
    <col customWidth="1" min="7" max="7" width="17.63"/>
    <col customWidth="1" min="8" max="8" width="3.75"/>
    <col customWidth="1" min="9" max="9" width="29.13"/>
    <col customWidth="1" min="10" max="10" width="3.75"/>
    <col customWidth="1" min="11" max="11" width="45.13"/>
    <col customWidth="1" min="12" max="12" width="3.75"/>
    <col customWidth="1" min="13" max="13" width="34.38"/>
    <col customWidth="1" min="14" max="14" width="3.75"/>
    <col customWidth="1" min="15" max="15" width="35.0"/>
    <col customWidth="1" min="16" max="16" width="3.75"/>
    <col customWidth="1" min="17" max="17" width="39.88"/>
    <col customWidth="1" min="18" max="18" width="3.75"/>
    <col customWidth="1" min="19" max="19" width="36.75"/>
    <col customWidth="1" min="20" max="20" width="4.0"/>
    <col customWidth="1" min="21" max="21" width="33.5"/>
    <col customWidth="1" min="22" max="22" width="4.0"/>
    <col customWidth="1" min="23" max="23" width="31.38"/>
    <col customWidth="1" min="24" max="24" width="4.0"/>
    <col customWidth="1" min="25" max="25" width="40.13"/>
    <col customWidth="1" min="26" max="26" width="4.0"/>
    <col customWidth="1" min="27" max="27" width="36.63"/>
    <col customWidth="1" min="28" max="28" width="4.0"/>
    <col customWidth="1" min="29" max="29" width="23.25"/>
    <col customWidth="1" min="30" max="30" width="4.0"/>
    <col customWidth="1" min="31" max="31" width="23.75"/>
    <col customWidth="1" min="32" max="32" width="4.0"/>
    <col customWidth="1" min="33" max="33" width="25.63"/>
    <col customWidth="1" min="34" max="34" width="4.0"/>
    <col customWidth="1" min="35" max="35" width="19.5"/>
    <col customWidth="1" min="36" max="36" width="4.0"/>
    <col customWidth="1" min="37" max="37" width="24.0"/>
    <col customWidth="1" min="38" max="38" width="4.0"/>
    <col customWidth="1" min="39" max="39" width="50.38"/>
    <col customWidth="1" min="40" max="40" width="4.0"/>
    <col customWidth="1" min="41" max="41" width="41.63"/>
    <col customWidth="1" min="42" max="42" width="4.0"/>
    <col customWidth="1" min="43" max="43" width="26.63"/>
    <col customWidth="1" min="44" max="44" width="4.0"/>
    <col customWidth="1" min="45" max="45" width="33.13"/>
    <col customWidth="1" min="46" max="46" width="4.0"/>
    <col customWidth="1" min="47" max="47" width="32.25"/>
    <col customWidth="1" min="48" max="48" width="4.0"/>
    <col customWidth="1" min="49" max="49" width="19.0"/>
    <col customWidth="1" min="50" max="50" width="4.0"/>
    <col customWidth="1" min="51" max="51" width="35.5"/>
    <col customWidth="1" min="52" max="52" width="4.0"/>
    <col customWidth="1" min="53" max="53" width="7.63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2</v>
      </c>
      <c r="F1" s="4" t="s">
        <v>3</v>
      </c>
      <c r="G1" s="5" t="s">
        <v>4</v>
      </c>
      <c r="H1" s="4" t="s">
        <v>3</v>
      </c>
      <c r="I1" s="5" t="s">
        <v>5</v>
      </c>
      <c r="J1" s="4" t="s">
        <v>3</v>
      </c>
      <c r="K1" s="5" t="s">
        <v>6</v>
      </c>
      <c r="L1" s="4" t="s">
        <v>3</v>
      </c>
      <c r="M1" s="5" t="s">
        <v>7</v>
      </c>
      <c r="N1" s="4" t="s">
        <v>3</v>
      </c>
      <c r="O1" s="5" t="s">
        <v>8</v>
      </c>
      <c r="P1" s="4" t="s">
        <v>3</v>
      </c>
      <c r="Q1" s="5" t="s">
        <v>9</v>
      </c>
      <c r="R1" s="4" t="s">
        <v>3</v>
      </c>
      <c r="S1" s="5" t="s">
        <v>10</v>
      </c>
      <c r="T1" s="4" t="s">
        <v>3</v>
      </c>
      <c r="U1" s="5" t="s">
        <v>11</v>
      </c>
      <c r="V1" s="4" t="s">
        <v>3</v>
      </c>
      <c r="W1" s="5" t="s">
        <v>12</v>
      </c>
      <c r="X1" s="4" t="s">
        <v>3</v>
      </c>
      <c r="Y1" s="5" t="s">
        <v>13</v>
      </c>
      <c r="Z1" s="4" t="s">
        <v>3</v>
      </c>
      <c r="AA1" s="5" t="s">
        <v>14</v>
      </c>
      <c r="AB1" s="4" t="s">
        <v>3</v>
      </c>
      <c r="AC1" s="5" t="s">
        <v>15</v>
      </c>
      <c r="AD1" s="4" t="s">
        <v>3</v>
      </c>
      <c r="AE1" s="5" t="s">
        <v>16</v>
      </c>
      <c r="AF1" s="4" t="s">
        <v>3</v>
      </c>
      <c r="AG1" s="5" t="s">
        <v>17</v>
      </c>
      <c r="AH1" s="4" t="s">
        <v>3</v>
      </c>
      <c r="AI1" s="5" t="s">
        <v>18</v>
      </c>
      <c r="AJ1" s="4" t="s">
        <v>3</v>
      </c>
      <c r="AK1" s="5" t="s">
        <v>19</v>
      </c>
      <c r="AL1" s="4" t="s">
        <v>3</v>
      </c>
      <c r="AM1" s="5" t="s">
        <v>20</v>
      </c>
      <c r="AN1" s="4" t="s">
        <v>3</v>
      </c>
      <c r="AO1" s="5" t="s">
        <v>21</v>
      </c>
      <c r="AP1" s="4" t="s">
        <v>3</v>
      </c>
      <c r="AQ1" s="5" t="s">
        <v>22</v>
      </c>
      <c r="AR1" s="4" t="s">
        <v>3</v>
      </c>
      <c r="AS1" s="5" t="s">
        <v>23</v>
      </c>
      <c r="AT1" s="4" t="s">
        <v>3</v>
      </c>
      <c r="AU1" s="5" t="s">
        <v>24</v>
      </c>
      <c r="AV1" s="4" t="s">
        <v>3</v>
      </c>
      <c r="AW1" s="5" t="s">
        <v>25</v>
      </c>
      <c r="AX1" s="4" t="s">
        <v>3</v>
      </c>
      <c r="AY1" s="5" t="s">
        <v>26</v>
      </c>
      <c r="AZ1" s="4" t="s">
        <v>3</v>
      </c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</row>
    <row r="2" ht="15.75" customHeight="1">
      <c r="A2" s="7" t="s">
        <v>27</v>
      </c>
      <c r="B2" s="8" t="s">
        <v>28</v>
      </c>
      <c r="C2" s="6" t="s">
        <v>29</v>
      </c>
      <c r="D2" s="9">
        <v>1.0</v>
      </c>
      <c r="E2" s="10" t="s">
        <v>30</v>
      </c>
      <c r="F2" s="9">
        <v>1.0</v>
      </c>
      <c r="G2" s="9" t="s">
        <v>31</v>
      </c>
      <c r="H2" s="9">
        <v>1.0</v>
      </c>
      <c r="I2" s="9" t="s">
        <v>32</v>
      </c>
      <c r="J2" s="9">
        <v>1.0</v>
      </c>
      <c r="K2" s="9" t="s">
        <v>33</v>
      </c>
      <c r="L2" s="9">
        <v>1.0</v>
      </c>
      <c r="M2" s="9" t="s">
        <v>34</v>
      </c>
      <c r="N2" s="9">
        <v>1.0</v>
      </c>
      <c r="O2" s="9" t="s">
        <v>35</v>
      </c>
      <c r="P2" s="9">
        <v>1.0</v>
      </c>
      <c r="Q2" s="9" t="s">
        <v>36</v>
      </c>
      <c r="R2" s="9">
        <v>1.0</v>
      </c>
      <c r="S2" s="9" t="s">
        <v>37</v>
      </c>
      <c r="T2" s="9">
        <v>1.0</v>
      </c>
      <c r="U2" s="9" t="s">
        <v>38</v>
      </c>
      <c r="V2" s="9">
        <v>1.0</v>
      </c>
      <c r="W2" s="9" t="s">
        <v>39</v>
      </c>
      <c r="X2" s="9">
        <v>1.0</v>
      </c>
      <c r="Y2" s="9" t="s">
        <v>40</v>
      </c>
      <c r="Z2" s="9">
        <v>1.0</v>
      </c>
      <c r="AA2" s="11" t="s">
        <v>41</v>
      </c>
      <c r="AB2" s="9">
        <v>1.0</v>
      </c>
      <c r="AC2" s="9" t="s">
        <v>42</v>
      </c>
      <c r="AD2" s="9">
        <v>1.0</v>
      </c>
      <c r="AE2" s="9" t="s">
        <v>43</v>
      </c>
      <c r="AF2" s="9">
        <v>1.0</v>
      </c>
      <c r="AG2" s="9" t="s">
        <v>44</v>
      </c>
      <c r="AH2" s="9">
        <v>1.0</v>
      </c>
      <c r="AI2" s="9" t="s">
        <v>45</v>
      </c>
      <c r="AJ2" s="9">
        <v>1.0</v>
      </c>
      <c r="AK2" s="12" t="s">
        <v>46</v>
      </c>
      <c r="AL2" s="9">
        <v>1.0</v>
      </c>
      <c r="AM2" s="12" t="s">
        <v>47</v>
      </c>
      <c r="AN2" s="9">
        <v>1.0</v>
      </c>
      <c r="AO2" s="12" t="s">
        <v>48</v>
      </c>
      <c r="AP2" s="9">
        <v>1.0</v>
      </c>
      <c r="AQ2" s="9" t="s">
        <v>49</v>
      </c>
      <c r="AR2" s="9">
        <v>1.0</v>
      </c>
      <c r="AS2" s="12" t="s">
        <v>50</v>
      </c>
      <c r="AT2" s="9">
        <v>1.0</v>
      </c>
      <c r="AU2" s="12" t="s">
        <v>51</v>
      </c>
      <c r="AV2" s="9">
        <v>1.0</v>
      </c>
      <c r="AW2" s="9" t="s">
        <v>52</v>
      </c>
      <c r="AX2" s="9">
        <v>0.0</v>
      </c>
      <c r="AY2" s="9" t="s">
        <v>53</v>
      </c>
      <c r="AZ2" s="9">
        <v>1.0</v>
      </c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</row>
    <row r="3" ht="15.75" customHeight="1">
      <c r="A3" s="13" t="s">
        <v>54</v>
      </c>
      <c r="B3" s="8" t="s">
        <v>28</v>
      </c>
      <c r="C3" s="6" t="s">
        <v>55</v>
      </c>
      <c r="D3" s="9">
        <v>1.0</v>
      </c>
      <c r="E3" s="10" t="s">
        <v>56</v>
      </c>
      <c r="F3" s="9">
        <v>1.0</v>
      </c>
      <c r="G3" s="9" t="s">
        <v>57</v>
      </c>
      <c r="H3" s="9">
        <v>1.0</v>
      </c>
      <c r="I3" s="9" t="s">
        <v>58</v>
      </c>
      <c r="J3" s="9">
        <v>1.0</v>
      </c>
      <c r="K3" s="9" t="s">
        <v>59</v>
      </c>
      <c r="L3" s="9">
        <v>0.0</v>
      </c>
      <c r="M3" s="9" t="s">
        <v>60</v>
      </c>
      <c r="N3" s="9">
        <v>1.0</v>
      </c>
      <c r="O3" s="9" t="s">
        <v>61</v>
      </c>
      <c r="P3" s="9">
        <v>1.0</v>
      </c>
      <c r="Q3" s="9" t="s">
        <v>62</v>
      </c>
      <c r="R3" s="9">
        <v>1.0</v>
      </c>
      <c r="S3" s="9" t="s">
        <v>63</v>
      </c>
      <c r="T3" s="9">
        <v>1.0</v>
      </c>
      <c r="U3" s="9" t="s">
        <v>64</v>
      </c>
      <c r="V3" s="9">
        <v>1.0</v>
      </c>
      <c r="W3" s="9" t="s">
        <v>65</v>
      </c>
      <c r="X3" s="9">
        <v>1.0</v>
      </c>
      <c r="Y3" s="9" t="s">
        <v>66</v>
      </c>
      <c r="Z3" s="9">
        <v>1.0</v>
      </c>
      <c r="AA3" s="11" t="s">
        <v>67</v>
      </c>
      <c r="AB3" s="9">
        <v>1.0</v>
      </c>
      <c r="AC3" s="9" t="s">
        <v>68</v>
      </c>
      <c r="AD3" s="9">
        <v>1.0</v>
      </c>
      <c r="AE3" s="9" t="s">
        <v>69</v>
      </c>
      <c r="AF3" s="9">
        <v>1.0</v>
      </c>
      <c r="AG3" s="9" t="s">
        <v>70</v>
      </c>
      <c r="AH3" s="9">
        <v>1.0</v>
      </c>
      <c r="AI3" s="9" t="s">
        <v>71</v>
      </c>
      <c r="AJ3" s="9">
        <v>1.0</v>
      </c>
      <c r="AK3" s="12" t="s">
        <v>72</v>
      </c>
      <c r="AL3" s="9">
        <v>1.0</v>
      </c>
      <c r="AM3" s="12" t="s">
        <v>73</v>
      </c>
      <c r="AN3" s="9">
        <v>1.0</v>
      </c>
      <c r="AO3" s="12" t="s">
        <v>74</v>
      </c>
      <c r="AP3" s="9">
        <v>1.0</v>
      </c>
      <c r="AQ3" s="9" t="s">
        <v>75</v>
      </c>
      <c r="AR3" s="9">
        <v>1.0</v>
      </c>
      <c r="AS3" s="12" t="s">
        <v>76</v>
      </c>
      <c r="AT3" s="9">
        <v>1.0</v>
      </c>
      <c r="AU3" s="12" t="s">
        <v>77</v>
      </c>
      <c r="AV3" s="9">
        <v>1.0</v>
      </c>
      <c r="AW3" s="9"/>
      <c r="AX3" s="9"/>
      <c r="AY3" s="9" t="s">
        <v>78</v>
      </c>
      <c r="AZ3" s="9">
        <v>1.0</v>
      </c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</row>
    <row r="4" ht="15.75" customHeight="1">
      <c r="A4" s="14" t="s">
        <v>79</v>
      </c>
      <c r="B4" s="8" t="s">
        <v>28</v>
      </c>
      <c r="C4" s="6" t="s">
        <v>80</v>
      </c>
      <c r="D4" s="9">
        <v>1.0</v>
      </c>
      <c r="E4" s="10" t="s">
        <v>81</v>
      </c>
      <c r="F4" s="9">
        <v>1.0</v>
      </c>
      <c r="G4" s="9" t="s">
        <v>82</v>
      </c>
      <c r="H4" s="9">
        <v>1.0</v>
      </c>
      <c r="I4" s="9" t="s">
        <v>83</v>
      </c>
      <c r="J4" s="9">
        <v>1.0</v>
      </c>
      <c r="K4" s="9" t="s">
        <v>84</v>
      </c>
      <c r="L4" s="9">
        <v>0.0</v>
      </c>
      <c r="M4" s="9" t="s">
        <v>85</v>
      </c>
      <c r="N4" s="9">
        <v>1.0</v>
      </c>
      <c r="O4" s="9" t="s">
        <v>86</v>
      </c>
      <c r="P4" s="9">
        <v>1.0</v>
      </c>
      <c r="Q4" s="9" t="s">
        <v>87</v>
      </c>
      <c r="R4" s="9">
        <v>1.0</v>
      </c>
      <c r="S4" s="9" t="s">
        <v>88</v>
      </c>
      <c r="T4" s="9">
        <v>1.0</v>
      </c>
      <c r="U4" s="9" t="s">
        <v>89</v>
      </c>
      <c r="V4" s="9">
        <v>1.0</v>
      </c>
      <c r="W4" s="9" t="s">
        <v>90</v>
      </c>
      <c r="X4" s="9">
        <v>1.0</v>
      </c>
      <c r="Y4" s="9" t="s">
        <v>91</v>
      </c>
      <c r="Z4" s="9">
        <v>1.0</v>
      </c>
      <c r="AA4" s="11" t="s">
        <v>92</v>
      </c>
      <c r="AB4" s="9">
        <v>1.0</v>
      </c>
      <c r="AC4" s="9" t="s">
        <v>93</v>
      </c>
      <c r="AD4" s="9">
        <v>1.0</v>
      </c>
      <c r="AE4" s="9" t="s">
        <v>94</v>
      </c>
      <c r="AF4" s="9">
        <v>1.0</v>
      </c>
      <c r="AG4" s="9" t="s">
        <v>95</v>
      </c>
      <c r="AH4" s="9">
        <v>1.0</v>
      </c>
      <c r="AI4" s="9" t="s">
        <v>96</v>
      </c>
      <c r="AJ4" s="9">
        <v>1.0</v>
      </c>
      <c r="AK4" s="12" t="s">
        <v>97</v>
      </c>
      <c r="AL4" s="9">
        <v>1.0</v>
      </c>
      <c r="AM4" s="12" t="s">
        <v>98</v>
      </c>
      <c r="AN4" s="9">
        <v>1.0</v>
      </c>
      <c r="AO4" s="12" t="s">
        <v>99</v>
      </c>
      <c r="AP4" s="9">
        <v>1.0</v>
      </c>
      <c r="AQ4" s="9" t="s">
        <v>100</v>
      </c>
      <c r="AR4" s="9">
        <v>1.0</v>
      </c>
      <c r="AS4" s="12" t="s">
        <v>101</v>
      </c>
      <c r="AT4" s="9">
        <v>1.0</v>
      </c>
      <c r="AU4" s="9"/>
      <c r="AV4" s="9"/>
      <c r="AW4" s="9"/>
      <c r="AX4" s="9"/>
      <c r="AY4" s="9" t="s">
        <v>102</v>
      </c>
      <c r="AZ4" s="9">
        <v>0.0</v>
      </c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</row>
    <row r="5" ht="15.75" customHeight="1">
      <c r="A5" s="13" t="s">
        <v>103</v>
      </c>
      <c r="B5" s="8" t="s">
        <v>28</v>
      </c>
      <c r="C5" s="6" t="s">
        <v>104</v>
      </c>
      <c r="D5" s="9">
        <v>1.0</v>
      </c>
      <c r="E5" s="10" t="s">
        <v>105</v>
      </c>
      <c r="F5" s="9">
        <v>1.0</v>
      </c>
      <c r="G5" s="9" t="s">
        <v>106</v>
      </c>
      <c r="H5" s="9">
        <v>1.0</v>
      </c>
      <c r="I5" s="12" t="s">
        <v>107</v>
      </c>
      <c r="J5" s="9">
        <v>1.0</v>
      </c>
      <c r="K5" s="9" t="s">
        <v>108</v>
      </c>
      <c r="L5" s="9">
        <v>1.0</v>
      </c>
      <c r="M5" s="9" t="s">
        <v>109</v>
      </c>
      <c r="N5" s="9">
        <v>1.0</v>
      </c>
      <c r="O5" s="9" t="s">
        <v>110</v>
      </c>
      <c r="P5" s="9">
        <v>1.0</v>
      </c>
      <c r="Q5" s="9" t="s">
        <v>111</v>
      </c>
      <c r="R5" s="9">
        <v>1.0</v>
      </c>
      <c r="S5" s="9" t="s">
        <v>112</v>
      </c>
      <c r="T5" s="9">
        <v>1.0</v>
      </c>
      <c r="U5" s="9" t="s">
        <v>113</v>
      </c>
      <c r="V5" s="9">
        <v>1.0</v>
      </c>
      <c r="W5" s="9" t="s">
        <v>114</v>
      </c>
      <c r="X5" s="9">
        <v>0.0</v>
      </c>
      <c r="Y5" s="9" t="s">
        <v>115</v>
      </c>
      <c r="Z5" s="9">
        <v>1.0</v>
      </c>
      <c r="AA5" s="11" t="s">
        <v>116</v>
      </c>
      <c r="AB5" s="9">
        <v>1.0</v>
      </c>
      <c r="AC5" s="9" t="s">
        <v>117</v>
      </c>
      <c r="AD5" s="9">
        <v>0.0</v>
      </c>
      <c r="AE5" s="9" t="s">
        <v>27</v>
      </c>
      <c r="AF5" s="9">
        <v>0.0</v>
      </c>
      <c r="AG5" s="9" t="s">
        <v>118</v>
      </c>
      <c r="AH5" s="9">
        <v>1.0</v>
      </c>
      <c r="AI5" s="9" t="s">
        <v>119</v>
      </c>
      <c r="AJ5" s="9">
        <v>1.0</v>
      </c>
      <c r="AK5" s="12" t="s">
        <v>120</v>
      </c>
      <c r="AL5" s="9">
        <v>1.0</v>
      </c>
      <c r="AM5" s="12" t="s">
        <v>121</v>
      </c>
      <c r="AN5" s="9">
        <v>1.0</v>
      </c>
      <c r="AO5" s="12" t="s">
        <v>122</v>
      </c>
      <c r="AP5" s="9">
        <v>1.0</v>
      </c>
      <c r="AQ5" s="9" t="s">
        <v>123</v>
      </c>
      <c r="AR5" s="9">
        <v>1.0</v>
      </c>
      <c r="AS5" s="12" t="s">
        <v>124</v>
      </c>
      <c r="AT5" s="9">
        <v>1.0</v>
      </c>
      <c r="AU5" s="9"/>
      <c r="AV5" s="9"/>
      <c r="AW5" s="9"/>
      <c r="AX5" s="9"/>
      <c r="AY5" s="9" t="s">
        <v>125</v>
      </c>
      <c r="AZ5" s="9">
        <v>1.0</v>
      </c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</row>
    <row r="6" ht="15.75" customHeight="1">
      <c r="A6" s="15" t="s">
        <v>126</v>
      </c>
      <c r="B6" s="8" t="s">
        <v>28</v>
      </c>
      <c r="C6" s="6" t="s">
        <v>127</v>
      </c>
      <c r="D6" s="9">
        <v>1.0</v>
      </c>
      <c r="E6" s="10" t="s">
        <v>128</v>
      </c>
      <c r="F6" s="9">
        <v>1.0</v>
      </c>
      <c r="G6" s="9" t="s">
        <v>129</v>
      </c>
      <c r="H6" s="9">
        <v>1.0</v>
      </c>
      <c r="I6" s="12" t="s">
        <v>130</v>
      </c>
      <c r="J6" s="9">
        <v>1.0</v>
      </c>
      <c r="K6" s="9" t="s">
        <v>131</v>
      </c>
      <c r="L6" s="9">
        <v>1.0</v>
      </c>
      <c r="M6" s="9" t="s">
        <v>132</v>
      </c>
      <c r="N6" s="9">
        <v>1.0</v>
      </c>
      <c r="O6" s="9" t="s">
        <v>133</v>
      </c>
      <c r="P6" s="9">
        <v>1.0</v>
      </c>
      <c r="Q6" s="9" t="s">
        <v>134</v>
      </c>
      <c r="R6" s="9">
        <v>1.0</v>
      </c>
      <c r="S6" s="9" t="s">
        <v>135</v>
      </c>
      <c r="T6" s="9">
        <v>1.0</v>
      </c>
      <c r="U6" s="9" t="s">
        <v>136</v>
      </c>
      <c r="V6" s="9">
        <v>1.0</v>
      </c>
      <c r="W6" s="9" t="s">
        <v>137</v>
      </c>
      <c r="X6" s="9">
        <v>1.0</v>
      </c>
      <c r="Y6" s="9" t="s">
        <v>138</v>
      </c>
      <c r="Z6" s="9">
        <v>1.0</v>
      </c>
      <c r="AA6" s="11" t="s">
        <v>139</v>
      </c>
      <c r="AB6" s="9">
        <v>0.0</v>
      </c>
      <c r="AC6" s="9" t="s">
        <v>140</v>
      </c>
      <c r="AD6" s="9">
        <v>1.0</v>
      </c>
      <c r="AE6" s="9"/>
      <c r="AF6" s="9"/>
      <c r="AG6" s="9" t="s">
        <v>141</v>
      </c>
      <c r="AH6" s="9">
        <v>1.0</v>
      </c>
      <c r="AI6" s="9" t="s">
        <v>142</v>
      </c>
      <c r="AJ6" s="9">
        <v>1.0</v>
      </c>
      <c r="AK6" s="12" t="s">
        <v>143</v>
      </c>
      <c r="AL6" s="9">
        <v>1.0</v>
      </c>
      <c r="AM6" s="12" t="s">
        <v>144</v>
      </c>
      <c r="AN6" s="9">
        <v>1.0</v>
      </c>
      <c r="AO6" s="12" t="s">
        <v>145</v>
      </c>
      <c r="AP6" s="9">
        <v>1.0</v>
      </c>
      <c r="AQ6" s="12" t="s">
        <v>146</v>
      </c>
      <c r="AR6" s="9">
        <v>1.0</v>
      </c>
      <c r="AS6" s="9"/>
      <c r="AT6" s="9"/>
      <c r="AU6" s="9"/>
      <c r="AV6" s="9"/>
      <c r="AW6" s="9"/>
      <c r="AX6" s="9"/>
      <c r="AY6" s="9"/>
      <c r="AZ6" s="9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</row>
    <row r="7" ht="15.75" customHeight="1">
      <c r="A7" s="14" t="s">
        <v>147</v>
      </c>
      <c r="B7" s="8" t="s">
        <v>28</v>
      </c>
      <c r="C7" s="6" t="s">
        <v>148</v>
      </c>
      <c r="D7" s="9">
        <v>1.0</v>
      </c>
      <c r="E7" s="10" t="s">
        <v>149</v>
      </c>
      <c r="F7" s="9">
        <v>1.0</v>
      </c>
      <c r="G7" s="9" t="s">
        <v>150</v>
      </c>
      <c r="H7" s="9">
        <v>1.0</v>
      </c>
      <c r="I7" s="12" t="s">
        <v>151</v>
      </c>
      <c r="J7" s="9">
        <v>1.0</v>
      </c>
      <c r="K7" s="9" t="s">
        <v>152</v>
      </c>
      <c r="L7" s="9">
        <v>1.0</v>
      </c>
      <c r="M7" s="9" t="s">
        <v>153</v>
      </c>
      <c r="N7" s="9">
        <v>1.0</v>
      </c>
      <c r="O7" s="9" t="s">
        <v>154</v>
      </c>
      <c r="P7" s="9">
        <v>1.0</v>
      </c>
      <c r="Q7" s="9" t="s">
        <v>155</v>
      </c>
      <c r="R7" s="9">
        <v>1.0</v>
      </c>
      <c r="S7" s="9" t="s">
        <v>156</v>
      </c>
      <c r="T7" s="9">
        <v>1.0</v>
      </c>
      <c r="U7" s="9" t="s">
        <v>157</v>
      </c>
      <c r="V7" s="9">
        <v>1.0</v>
      </c>
      <c r="W7" s="9" t="s">
        <v>158</v>
      </c>
      <c r="X7" s="9">
        <v>1.0</v>
      </c>
      <c r="Y7" s="9" t="s">
        <v>159</v>
      </c>
      <c r="Z7" s="9">
        <v>1.0</v>
      </c>
      <c r="AA7" s="11" t="s">
        <v>160</v>
      </c>
      <c r="AB7" s="9">
        <v>1.0</v>
      </c>
      <c r="AC7" s="9" t="s">
        <v>161</v>
      </c>
      <c r="AD7" s="9">
        <v>1.0</v>
      </c>
      <c r="AE7" s="9"/>
      <c r="AF7" s="9"/>
      <c r="AG7" s="9" t="s">
        <v>162</v>
      </c>
      <c r="AH7" s="9">
        <v>1.0</v>
      </c>
      <c r="AI7" s="9" t="s">
        <v>163</v>
      </c>
      <c r="AJ7" s="9">
        <v>1.0</v>
      </c>
      <c r="AK7" s="12" t="s">
        <v>164</v>
      </c>
      <c r="AL7" s="9">
        <v>0.0</v>
      </c>
      <c r="AM7" s="12" t="s">
        <v>165</v>
      </c>
      <c r="AN7" s="9">
        <v>1.0</v>
      </c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</row>
    <row r="8" ht="15.75" customHeight="1">
      <c r="A8" s="13" t="s">
        <v>166</v>
      </c>
      <c r="B8" s="8" t="s">
        <v>28</v>
      </c>
      <c r="C8" s="6" t="s">
        <v>167</v>
      </c>
      <c r="D8" s="9">
        <v>1.0</v>
      </c>
      <c r="E8" s="10" t="s">
        <v>168</v>
      </c>
      <c r="F8" s="9">
        <v>1.0</v>
      </c>
      <c r="G8" s="9" t="s">
        <v>169</v>
      </c>
      <c r="H8" s="9">
        <v>1.0</v>
      </c>
      <c r="I8" s="12" t="s">
        <v>170</v>
      </c>
      <c r="J8" s="9">
        <v>1.0</v>
      </c>
      <c r="K8" s="9" t="s">
        <v>171</v>
      </c>
      <c r="L8" s="9">
        <v>1.0</v>
      </c>
      <c r="M8" s="9" t="s">
        <v>172</v>
      </c>
      <c r="N8" s="9">
        <v>1.0</v>
      </c>
      <c r="Q8" s="9"/>
      <c r="R8" s="9"/>
      <c r="S8" s="9" t="s">
        <v>173</v>
      </c>
      <c r="T8" s="9">
        <v>1.0</v>
      </c>
      <c r="U8" s="9" t="s">
        <v>174</v>
      </c>
      <c r="V8" s="9">
        <v>1.0</v>
      </c>
      <c r="W8" s="9" t="s">
        <v>175</v>
      </c>
      <c r="X8" s="9">
        <v>1.0</v>
      </c>
      <c r="Y8" s="9" t="s">
        <v>176</v>
      </c>
      <c r="Z8" s="9">
        <v>1.0</v>
      </c>
      <c r="AA8" s="11" t="s">
        <v>177</v>
      </c>
      <c r="AB8" s="9">
        <v>1.0</v>
      </c>
      <c r="AC8" s="9" t="s">
        <v>178</v>
      </c>
      <c r="AD8" s="9">
        <v>1.0</v>
      </c>
      <c r="AE8" s="9"/>
      <c r="AF8" s="9"/>
      <c r="AG8" s="9" t="s">
        <v>179</v>
      </c>
      <c r="AH8" s="9">
        <v>1.0</v>
      </c>
      <c r="AI8" s="9" t="s">
        <v>180</v>
      </c>
      <c r="AJ8" s="9">
        <v>1.0</v>
      </c>
      <c r="AK8" s="12" t="s">
        <v>181</v>
      </c>
      <c r="AL8" s="9">
        <v>0.0</v>
      </c>
      <c r="AM8" s="12" t="s">
        <v>182</v>
      </c>
      <c r="AN8" s="9">
        <v>1.0</v>
      </c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</row>
    <row r="9" ht="15.75" customHeight="1">
      <c r="A9" s="14" t="s">
        <v>183</v>
      </c>
      <c r="B9" s="8" t="s">
        <v>28</v>
      </c>
      <c r="C9" s="6" t="s">
        <v>184</v>
      </c>
      <c r="D9" s="9">
        <v>1.0</v>
      </c>
      <c r="E9" s="10" t="s">
        <v>185</v>
      </c>
      <c r="F9" s="9">
        <v>1.0</v>
      </c>
      <c r="G9" s="9" t="s">
        <v>186</v>
      </c>
      <c r="H9" s="9">
        <v>1.0</v>
      </c>
      <c r="I9" s="12" t="s">
        <v>187</v>
      </c>
      <c r="J9" s="9">
        <v>1.0</v>
      </c>
      <c r="K9" s="9" t="s">
        <v>188</v>
      </c>
      <c r="L9" s="9">
        <v>1.0</v>
      </c>
      <c r="M9" s="9" t="s">
        <v>189</v>
      </c>
      <c r="N9" s="9">
        <v>1.0</v>
      </c>
      <c r="O9" s="9"/>
      <c r="P9" s="9"/>
      <c r="Q9" s="9"/>
      <c r="R9" s="9"/>
      <c r="S9" s="9" t="s">
        <v>190</v>
      </c>
      <c r="T9" s="9">
        <v>1.0</v>
      </c>
      <c r="U9" s="9" t="s">
        <v>191</v>
      </c>
      <c r="V9" s="9">
        <v>1.0</v>
      </c>
      <c r="W9" s="9" t="s">
        <v>192</v>
      </c>
      <c r="X9" s="9">
        <v>1.0</v>
      </c>
      <c r="Y9" s="9" t="s">
        <v>193</v>
      </c>
      <c r="Z9" s="9">
        <v>1.0</v>
      </c>
      <c r="AA9" s="11" t="s">
        <v>194</v>
      </c>
      <c r="AB9" s="9">
        <v>1.0</v>
      </c>
      <c r="AC9" s="9" t="s">
        <v>195</v>
      </c>
      <c r="AD9" s="9">
        <v>0.0</v>
      </c>
      <c r="AE9" s="9"/>
      <c r="AF9" s="9"/>
      <c r="AG9" s="9" t="s">
        <v>196</v>
      </c>
      <c r="AH9" s="9">
        <v>1.0</v>
      </c>
      <c r="AI9" s="9" t="s">
        <v>197</v>
      </c>
      <c r="AJ9" s="9">
        <v>1.0</v>
      </c>
      <c r="AK9" s="9"/>
      <c r="AL9" s="9"/>
      <c r="AM9" s="12" t="s">
        <v>198</v>
      </c>
      <c r="AN9" s="9">
        <v>1.0</v>
      </c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</row>
    <row r="10" ht="15.75" customHeight="1">
      <c r="A10" s="16" t="s">
        <v>199</v>
      </c>
      <c r="B10" s="8" t="s">
        <v>28</v>
      </c>
      <c r="C10" s="6" t="s">
        <v>200</v>
      </c>
      <c r="D10" s="9">
        <v>1.0</v>
      </c>
      <c r="E10" s="10" t="s">
        <v>201</v>
      </c>
      <c r="F10" s="9">
        <v>1.0</v>
      </c>
      <c r="G10" s="9" t="s">
        <v>202</v>
      </c>
      <c r="H10" s="9">
        <v>1.0</v>
      </c>
      <c r="I10" s="12" t="s">
        <v>203</v>
      </c>
      <c r="J10" s="9">
        <v>1.0</v>
      </c>
      <c r="K10" s="9" t="s">
        <v>204</v>
      </c>
      <c r="L10" s="9">
        <v>0.0</v>
      </c>
      <c r="M10" s="9" t="s">
        <v>205</v>
      </c>
      <c r="N10" s="9">
        <v>1.0</v>
      </c>
      <c r="O10" s="9"/>
      <c r="P10" s="9"/>
      <c r="Q10" s="9"/>
      <c r="R10" s="9"/>
      <c r="S10" s="9" t="s">
        <v>206</v>
      </c>
      <c r="T10" s="9">
        <v>1.0</v>
      </c>
      <c r="U10" s="9" t="s">
        <v>207</v>
      </c>
      <c r="V10" s="9">
        <v>1.0</v>
      </c>
      <c r="W10" s="9" t="s">
        <v>208</v>
      </c>
      <c r="X10" s="9">
        <v>1.0</v>
      </c>
      <c r="Y10" s="9" t="s">
        <v>209</v>
      </c>
      <c r="Z10" s="9">
        <v>1.0</v>
      </c>
      <c r="AA10" s="11" t="s">
        <v>210</v>
      </c>
      <c r="AB10" s="9">
        <v>1.0</v>
      </c>
      <c r="AC10" s="9" t="s">
        <v>211</v>
      </c>
      <c r="AD10" s="9">
        <v>1.0</v>
      </c>
      <c r="AE10" s="9"/>
      <c r="AF10" s="9"/>
      <c r="AG10" s="9"/>
      <c r="AH10" s="9"/>
      <c r="AI10" s="9" t="s">
        <v>212</v>
      </c>
      <c r="AJ10" s="9">
        <v>1.0</v>
      </c>
      <c r="AK10" s="9"/>
      <c r="AL10" s="9"/>
      <c r="AM10" s="12" t="s">
        <v>213</v>
      </c>
      <c r="AN10" s="9">
        <v>1.0</v>
      </c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</row>
    <row r="11" ht="15.75" customHeight="1">
      <c r="A11" s="15" t="s">
        <v>214</v>
      </c>
      <c r="B11" s="8" t="s">
        <v>28</v>
      </c>
      <c r="C11" s="6" t="s">
        <v>215</v>
      </c>
      <c r="D11" s="9">
        <v>1.0</v>
      </c>
      <c r="E11" s="10" t="s">
        <v>216</v>
      </c>
      <c r="F11" s="9">
        <v>1.0</v>
      </c>
      <c r="G11" s="9" t="s">
        <v>217</v>
      </c>
      <c r="H11" s="9">
        <v>1.0</v>
      </c>
      <c r="I11" s="12" t="s">
        <v>218</v>
      </c>
      <c r="J11" s="9">
        <v>1.0</v>
      </c>
      <c r="K11" s="9" t="s">
        <v>219</v>
      </c>
      <c r="L11" s="9">
        <v>0.0</v>
      </c>
      <c r="M11" s="9" t="s">
        <v>220</v>
      </c>
      <c r="N11" s="9">
        <v>1.0</v>
      </c>
      <c r="O11" s="9"/>
      <c r="P11" s="9"/>
      <c r="Q11" s="9"/>
      <c r="R11" s="9"/>
      <c r="S11" s="9" t="s">
        <v>221</v>
      </c>
      <c r="T11" s="9">
        <v>1.0</v>
      </c>
      <c r="U11" s="9" t="s">
        <v>222</v>
      </c>
      <c r="V11" s="9">
        <v>1.0</v>
      </c>
      <c r="W11" s="9"/>
      <c r="X11" s="9"/>
      <c r="Y11" s="9" t="s">
        <v>223</v>
      </c>
      <c r="Z11" s="9">
        <v>1.0</v>
      </c>
      <c r="AA11" s="11" t="s">
        <v>224</v>
      </c>
      <c r="AB11" s="9">
        <v>1.0</v>
      </c>
      <c r="AC11" s="9" t="s">
        <v>225</v>
      </c>
      <c r="AD11" s="9">
        <v>1.0</v>
      </c>
      <c r="AE11" s="9"/>
      <c r="AF11" s="9"/>
      <c r="AG11" s="9"/>
      <c r="AH11" s="9"/>
      <c r="AI11" s="9" t="s">
        <v>226</v>
      </c>
      <c r="AJ11" s="9">
        <v>1.0</v>
      </c>
      <c r="AK11" s="9"/>
      <c r="AL11" s="9"/>
      <c r="AM11" s="12" t="s">
        <v>227</v>
      </c>
      <c r="AN11" s="9">
        <v>1.0</v>
      </c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</row>
    <row r="12" ht="15.75" customHeight="1">
      <c r="A12" s="14" t="s">
        <v>228</v>
      </c>
      <c r="B12" s="8" t="s">
        <v>28</v>
      </c>
      <c r="C12" s="6" t="s">
        <v>229</v>
      </c>
      <c r="D12" s="9">
        <v>1.0</v>
      </c>
      <c r="E12" s="10" t="s">
        <v>230</v>
      </c>
      <c r="F12" s="9">
        <v>1.0</v>
      </c>
      <c r="G12" s="9" t="s">
        <v>231</v>
      </c>
      <c r="H12" s="9">
        <v>0.0</v>
      </c>
      <c r="I12" s="12" t="s">
        <v>232</v>
      </c>
      <c r="J12" s="9">
        <v>1.0</v>
      </c>
      <c r="K12" s="9" t="s">
        <v>233</v>
      </c>
      <c r="L12" s="9">
        <v>1.0</v>
      </c>
      <c r="M12" s="9" t="s">
        <v>234</v>
      </c>
      <c r="N12" s="9">
        <v>1.0</v>
      </c>
      <c r="O12" s="9"/>
      <c r="P12" s="9"/>
      <c r="Q12" s="9"/>
      <c r="R12" s="9"/>
      <c r="S12" s="9" t="s">
        <v>235</v>
      </c>
      <c r="T12" s="9">
        <v>1.0</v>
      </c>
      <c r="U12" s="9" t="s">
        <v>157</v>
      </c>
      <c r="V12" s="9">
        <v>1.0</v>
      </c>
      <c r="W12" s="9"/>
      <c r="X12" s="9"/>
      <c r="Y12" s="9" t="s">
        <v>236</v>
      </c>
      <c r="Z12" s="9">
        <v>1.0</v>
      </c>
      <c r="AA12" s="11" t="s">
        <v>237</v>
      </c>
      <c r="AB12" s="9">
        <v>1.0</v>
      </c>
      <c r="AC12" s="9" t="s">
        <v>238</v>
      </c>
      <c r="AD12" s="9">
        <v>1.0</v>
      </c>
      <c r="AE12" s="9"/>
      <c r="AF12" s="9"/>
      <c r="AG12" s="9"/>
      <c r="AH12" s="9"/>
      <c r="AI12" s="9" t="s">
        <v>239</v>
      </c>
      <c r="AJ12" s="9">
        <v>1.0</v>
      </c>
      <c r="AK12" s="9"/>
      <c r="AL12" s="9"/>
      <c r="AM12" s="12" t="s">
        <v>240</v>
      </c>
      <c r="AN12" s="9">
        <v>1.0</v>
      </c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</row>
    <row r="13" ht="15.75" customHeight="1">
      <c r="A13" s="14" t="s">
        <v>241</v>
      </c>
      <c r="B13" s="8" t="s">
        <v>28</v>
      </c>
      <c r="C13" s="6" t="s">
        <v>242</v>
      </c>
      <c r="D13" s="9">
        <v>1.0</v>
      </c>
      <c r="E13" s="10" t="s">
        <v>243</v>
      </c>
      <c r="F13" s="9">
        <v>1.0</v>
      </c>
      <c r="G13" s="9" t="s">
        <v>244</v>
      </c>
      <c r="H13" s="9">
        <v>1.0</v>
      </c>
      <c r="I13" s="12" t="s">
        <v>245</v>
      </c>
      <c r="J13" s="9">
        <v>1.0</v>
      </c>
      <c r="K13" s="9" t="s">
        <v>246</v>
      </c>
      <c r="L13" s="9">
        <v>1.0</v>
      </c>
      <c r="M13" s="9" t="s">
        <v>247</v>
      </c>
      <c r="N13" s="9">
        <v>1.0</v>
      </c>
      <c r="O13" s="9"/>
      <c r="P13" s="9"/>
      <c r="Q13" s="9"/>
      <c r="R13" s="9"/>
      <c r="S13" s="12" t="s">
        <v>248</v>
      </c>
      <c r="T13" s="9">
        <v>1.0</v>
      </c>
      <c r="U13" s="9" t="s">
        <v>249</v>
      </c>
      <c r="V13" s="9">
        <v>1.0</v>
      </c>
      <c r="W13" s="9"/>
      <c r="X13" s="9"/>
      <c r="Y13" s="9" t="s">
        <v>250</v>
      </c>
      <c r="Z13" s="9">
        <v>1.0</v>
      </c>
      <c r="AA13" s="11" t="s">
        <v>251</v>
      </c>
      <c r="AB13" s="9">
        <v>1.0</v>
      </c>
      <c r="AC13" s="9" t="s">
        <v>252</v>
      </c>
      <c r="AD13" s="9">
        <v>1.0</v>
      </c>
      <c r="AE13" s="9"/>
      <c r="AF13" s="9"/>
      <c r="AG13" s="9"/>
      <c r="AH13" s="9"/>
      <c r="AI13" s="9" t="s">
        <v>253</v>
      </c>
      <c r="AJ13" s="9">
        <v>1.0</v>
      </c>
      <c r="AK13" s="9"/>
      <c r="AL13" s="9"/>
      <c r="AM13" s="12" t="s">
        <v>254</v>
      </c>
      <c r="AN13" s="9">
        <v>0.0</v>
      </c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</row>
    <row r="14" ht="15.75" customHeight="1">
      <c r="A14" s="14" t="s">
        <v>255</v>
      </c>
      <c r="B14" s="8" t="s">
        <v>28</v>
      </c>
      <c r="C14" s="6" t="s">
        <v>256</v>
      </c>
      <c r="D14" s="9">
        <v>1.0</v>
      </c>
      <c r="E14" s="10" t="s">
        <v>257</v>
      </c>
      <c r="F14" s="9">
        <v>1.0</v>
      </c>
      <c r="G14" s="9" t="s">
        <v>258</v>
      </c>
      <c r="H14" s="9">
        <v>1.0</v>
      </c>
      <c r="I14" s="12" t="s">
        <v>259</v>
      </c>
      <c r="J14" s="9">
        <v>1.0</v>
      </c>
      <c r="K14" s="9" t="s">
        <v>260</v>
      </c>
      <c r="L14" s="9">
        <v>1.0</v>
      </c>
      <c r="M14" s="9" t="s">
        <v>261</v>
      </c>
      <c r="N14" s="9">
        <v>1.0</v>
      </c>
      <c r="O14" s="9"/>
      <c r="P14" s="9"/>
      <c r="Q14" s="9"/>
      <c r="R14" s="9"/>
      <c r="S14" s="9" t="s">
        <v>262</v>
      </c>
      <c r="T14" s="9">
        <v>1.0</v>
      </c>
      <c r="U14" s="9" t="s">
        <v>263</v>
      </c>
      <c r="V14" s="9">
        <v>1.0</v>
      </c>
      <c r="W14" s="9"/>
      <c r="X14" s="9"/>
      <c r="Y14" s="9"/>
      <c r="Z14" s="9"/>
      <c r="AA14" s="11" t="s">
        <v>264</v>
      </c>
      <c r="AB14" s="9">
        <v>1.0</v>
      </c>
      <c r="AC14" s="9" t="s">
        <v>265</v>
      </c>
      <c r="AD14" s="9">
        <v>1.0</v>
      </c>
      <c r="AE14" s="9"/>
      <c r="AF14" s="9"/>
      <c r="AG14" s="9"/>
      <c r="AH14" s="9"/>
      <c r="AI14" s="9" t="s">
        <v>266</v>
      </c>
      <c r="AJ14" s="9">
        <v>1.0</v>
      </c>
      <c r="AK14" s="9"/>
      <c r="AL14" s="9"/>
      <c r="AM14" s="12" t="s">
        <v>267</v>
      </c>
      <c r="AN14" s="9">
        <v>1.0</v>
      </c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</row>
    <row r="15" ht="15.75" customHeight="1">
      <c r="A15" s="14" t="s">
        <v>268</v>
      </c>
      <c r="B15" s="8" t="s">
        <v>28</v>
      </c>
      <c r="C15" s="6" t="s">
        <v>269</v>
      </c>
      <c r="D15" s="9">
        <v>1.0</v>
      </c>
      <c r="E15" s="10" t="s">
        <v>270</v>
      </c>
      <c r="F15" s="9">
        <v>1.0</v>
      </c>
      <c r="G15" s="9" t="s">
        <v>271</v>
      </c>
      <c r="H15" s="9">
        <v>1.0</v>
      </c>
      <c r="I15" s="9"/>
      <c r="J15" s="9"/>
      <c r="K15" s="9" t="s">
        <v>272</v>
      </c>
      <c r="L15" s="9">
        <v>1.0</v>
      </c>
      <c r="M15" s="9" t="s">
        <v>273</v>
      </c>
      <c r="N15" s="9">
        <v>1.0</v>
      </c>
      <c r="O15" s="9"/>
      <c r="P15" s="9"/>
      <c r="Q15" s="9"/>
      <c r="R15" s="9"/>
      <c r="S15" s="9" t="s">
        <v>274</v>
      </c>
      <c r="T15" s="9">
        <v>1.0</v>
      </c>
      <c r="U15" s="9" t="s">
        <v>275</v>
      </c>
      <c r="V15" s="9">
        <v>1.0</v>
      </c>
      <c r="W15" s="9"/>
      <c r="X15" s="9"/>
      <c r="Y15" s="9"/>
      <c r="Z15" s="9"/>
      <c r="AA15" s="11" t="s">
        <v>276</v>
      </c>
      <c r="AB15" s="9">
        <v>1.0</v>
      </c>
      <c r="AC15" s="9" t="s">
        <v>277</v>
      </c>
      <c r="AD15" s="9">
        <v>1.0</v>
      </c>
      <c r="AE15" s="9"/>
      <c r="AF15" s="9"/>
      <c r="AG15" s="9"/>
      <c r="AH15" s="9"/>
      <c r="AI15" s="9"/>
      <c r="AJ15" s="9"/>
      <c r="AK15" s="9"/>
      <c r="AL15" s="9"/>
      <c r="AM15" s="12" t="s">
        <v>278</v>
      </c>
      <c r="AN15" s="9">
        <v>1.0</v>
      </c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</row>
    <row r="16" ht="15.75" customHeight="1">
      <c r="A16" s="15" t="s">
        <v>279</v>
      </c>
      <c r="B16" s="8" t="s">
        <v>28</v>
      </c>
      <c r="C16" s="6" t="s">
        <v>280</v>
      </c>
      <c r="D16" s="9">
        <v>1.0</v>
      </c>
      <c r="E16" s="10" t="s">
        <v>281</v>
      </c>
      <c r="F16" s="9">
        <v>1.0</v>
      </c>
      <c r="G16" s="9" t="s">
        <v>282</v>
      </c>
      <c r="H16" s="9">
        <v>1.0</v>
      </c>
      <c r="I16" s="9"/>
      <c r="J16" s="9"/>
      <c r="K16" s="9" t="s">
        <v>283</v>
      </c>
      <c r="L16" s="9">
        <v>1.0</v>
      </c>
      <c r="M16" s="9" t="s">
        <v>284</v>
      </c>
      <c r="N16" s="9">
        <v>1.0</v>
      </c>
      <c r="O16" s="9"/>
      <c r="P16" s="9"/>
      <c r="Q16" s="9"/>
      <c r="R16" s="9"/>
      <c r="S16" s="9" t="s">
        <v>285</v>
      </c>
      <c r="T16" s="9">
        <v>1.0</v>
      </c>
      <c r="U16" s="9" t="s">
        <v>286</v>
      </c>
      <c r="V16" s="9">
        <v>1.0</v>
      </c>
      <c r="W16" s="9"/>
      <c r="X16" s="9"/>
      <c r="Y16" s="9"/>
      <c r="Z16" s="9"/>
      <c r="AA16" s="11" t="s">
        <v>287</v>
      </c>
      <c r="AB16" s="9">
        <v>1.0</v>
      </c>
      <c r="AC16" s="9" t="s">
        <v>288</v>
      </c>
      <c r="AD16" s="9">
        <v>1.0</v>
      </c>
      <c r="AE16" s="9"/>
      <c r="AF16" s="9"/>
      <c r="AG16" s="9"/>
      <c r="AH16" s="9"/>
      <c r="AI16" s="9"/>
      <c r="AJ16" s="9"/>
      <c r="AK16" s="9"/>
      <c r="AL16" s="9"/>
      <c r="AM16" s="12" t="s">
        <v>289</v>
      </c>
      <c r="AN16" s="9">
        <v>1.0</v>
      </c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</row>
    <row r="17" ht="15.75" customHeight="1">
      <c r="A17" s="14" t="s">
        <v>290</v>
      </c>
      <c r="B17" s="8" t="s">
        <v>23</v>
      </c>
      <c r="C17" s="6" t="s">
        <v>291</v>
      </c>
      <c r="D17" s="9">
        <v>1.0</v>
      </c>
      <c r="E17" s="10" t="s">
        <v>292</v>
      </c>
      <c r="F17" s="9">
        <v>1.0</v>
      </c>
      <c r="G17" s="9" t="s">
        <v>293</v>
      </c>
      <c r="H17" s="9">
        <v>1.0</v>
      </c>
      <c r="I17" s="9"/>
      <c r="J17" s="9"/>
      <c r="K17" s="9" t="s">
        <v>294</v>
      </c>
      <c r="L17" s="9">
        <v>1.0</v>
      </c>
      <c r="M17" s="9" t="s">
        <v>295</v>
      </c>
      <c r="N17" s="9">
        <v>1.0</v>
      </c>
      <c r="O17" s="9"/>
      <c r="P17" s="9"/>
      <c r="Q17" s="9"/>
      <c r="R17" s="9"/>
      <c r="S17" s="9" t="s">
        <v>296</v>
      </c>
      <c r="T17" s="9">
        <v>1.0</v>
      </c>
      <c r="U17" s="9" t="s">
        <v>297</v>
      </c>
      <c r="V17" s="9">
        <v>1.0</v>
      </c>
      <c r="W17" s="9"/>
      <c r="X17" s="9"/>
      <c r="Y17" s="9"/>
      <c r="Z17" s="9"/>
      <c r="AA17" s="11" t="s">
        <v>298</v>
      </c>
      <c r="AB17" s="9">
        <v>1.0</v>
      </c>
      <c r="AC17" s="9" t="s">
        <v>299</v>
      </c>
      <c r="AD17" s="9">
        <v>1.0</v>
      </c>
      <c r="AE17" s="9"/>
      <c r="AF17" s="9"/>
      <c r="AG17" s="9"/>
      <c r="AH17" s="9"/>
      <c r="AI17" s="9"/>
      <c r="AJ17" s="9"/>
      <c r="AK17" s="9"/>
      <c r="AL17" s="9"/>
      <c r="AM17" s="12" t="s">
        <v>300</v>
      </c>
      <c r="AN17" s="9">
        <v>1.0</v>
      </c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</row>
    <row r="18">
      <c r="A18" s="15" t="s">
        <v>100</v>
      </c>
      <c r="B18" s="8" t="s">
        <v>22</v>
      </c>
      <c r="C18" s="6" t="s">
        <v>301</v>
      </c>
      <c r="D18" s="9">
        <v>1.0</v>
      </c>
      <c r="E18" s="10" t="s">
        <v>302</v>
      </c>
      <c r="F18" s="9">
        <v>0.0</v>
      </c>
      <c r="G18" s="9" t="s">
        <v>303</v>
      </c>
      <c r="H18" s="9">
        <v>1.0</v>
      </c>
      <c r="I18" s="9"/>
      <c r="J18" s="9"/>
      <c r="K18" s="9" t="s">
        <v>304</v>
      </c>
      <c r="L18" s="9">
        <v>1.0</v>
      </c>
      <c r="M18" s="9" t="s">
        <v>305</v>
      </c>
      <c r="N18" s="9">
        <v>1.0</v>
      </c>
      <c r="O18" s="9"/>
      <c r="P18" s="9"/>
      <c r="Q18" s="9"/>
      <c r="R18" s="9"/>
      <c r="S18" s="9" t="s">
        <v>306</v>
      </c>
      <c r="T18" s="9">
        <v>1.0</v>
      </c>
      <c r="U18" s="9" t="s">
        <v>307</v>
      </c>
      <c r="V18" s="9">
        <v>1.0</v>
      </c>
      <c r="W18" s="9"/>
      <c r="X18" s="9"/>
      <c r="Y18" s="9"/>
      <c r="Z18" s="9"/>
      <c r="AA18" s="11" t="s">
        <v>308</v>
      </c>
      <c r="AB18" s="9">
        <v>1.0</v>
      </c>
      <c r="AC18" s="9" t="s">
        <v>309</v>
      </c>
      <c r="AD18" s="9">
        <v>0.0</v>
      </c>
      <c r="AE18" s="9"/>
      <c r="AF18" s="9"/>
      <c r="AG18" s="9"/>
      <c r="AH18" s="9"/>
      <c r="AI18" s="9"/>
      <c r="AJ18" s="9"/>
      <c r="AK18" s="9"/>
      <c r="AL18" s="9"/>
      <c r="AM18" s="12" t="s">
        <v>310</v>
      </c>
      <c r="AN18" s="9">
        <v>1.0</v>
      </c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</row>
    <row r="19">
      <c r="A19" s="15" t="s">
        <v>311</v>
      </c>
      <c r="B19" s="8" t="s">
        <v>28</v>
      </c>
      <c r="C19" s="6" t="s">
        <v>312</v>
      </c>
      <c r="D19" s="9">
        <v>1.0</v>
      </c>
      <c r="E19" s="10" t="s">
        <v>313</v>
      </c>
      <c r="F19" s="9">
        <v>1.0</v>
      </c>
      <c r="G19" s="9" t="s">
        <v>314</v>
      </c>
      <c r="H19" s="9">
        <v>1.0</v>
      </c>
      <c r="I19" s="9"/>
      <c r="J19" s="9"/>
      <c r="K19" s="9" t="s">
        <v>315</v>
      </c>
      <c r="L19" s="9">
        <v>1.0</v>
      </c>
      <c r="M19" s="9" t="s">
        <v>316</v>
      </c>
      <c r="N19" s="9">
        <v>1.0</v>
      </c>
      <c r="O19" s="9"/>
      <c r="P19" s="9"/>
      <c r="Q19" s="9"/>
      <c r="R19" s="9"/>
      <c r="S19" s="9" t="s">
        <v>317</v>
      </c>
      <c r="T19" s="9">
        <v>1.0</v>
      </c>
      <c r="U19" s="9" t="s">
        <v>318</v>
      </c>
      <c r="V19" s="9">
        <v>1.0</v>
      </c>
      <c r="W19" s="9"/>
      <c r="X19" s="9"/>
      <c r="Y19" s="9"/>
      <c r="Z19" s="9"/>
      <c r="AA19" s="9"/>
      <c r="AB19" s="9"/>
      <c r="AC19" s="9" t="s">
        <v>319</v>
      </c>
      <c r="AD19" s="9">
        <v>1.0</v>
      </c>
      <c r="AE19" s="9"/>
      <c r="AF19" s="9"/>
      <c r="AG19" s="9"/>
      <c r="AH19" s="9"/>
      <c r="AI19" s="9"/>
      <c r="AJ19" s="9"/>
      <c r="AK19" s="9"/>
      <c r="AL19" s="9"/>
      <c r="AM19" s="12" t="s">
        <v>320</v>
      </c>
      <c r="AN19" s="9">
        <v>1.0</v>
      </c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</row>
    <row r="20">
      <c r="A20" s="14" t="s">
        <v>321</v>
      </c>
      <c r="B20" s="8" t="s">
        <v>28</v>
      </c>
      <c r="C20" s="6" t="s">
        <v>322</v>
      </c>
      <c r="D20" s="9">
        <v>1.0</v>
      </c>
      <c r="E20" s="10" t="s">
        <v>323</v>
      </c>
      <c r="F20" s="9">
        <v>1.0</v>
      </c>
      <c r="G20" s="9" t="s">
        <v>324</v>
      </c>
      <c r="H20" s="9">
        <v>1.0</v>
      </c>
      <c r="I20" s="9"/>
      <c r="J20" s="9"/>
      <c r="K20" s="9" t="s">
        <v>325</v>
      </c>
      <c r="L20" s="9">
        <v>1.0</v>
      </c>
      <c r="M20" s="9" t="s">
        <v>326</v>
      </c>
      <c r="N20" s="9">
        <v>1.0</v>
      </c>
      <c r="O20" s="9"/>
      <c r="P20" s="9"/>
      <c r="Q20" s="9"/>
      <c r="R20" s="9"/>
      <c r="S20" s="9" t="s">
        <v>327</v>
      </c>
      <c r="T20" s="9">
        <v>1.0</v>
      </c>
      <c r="U20" s="9" t="s">
        <v>328</v>
      </c>
      <c r="V20" s="9">
        <v>1.0</v>
      </c>
      <c r="W20" s="9"/>
      <c r="X20" s="9"/>
      <c r="Y20" s="9"/>
      <c r="Z20" s="9"/>
      <c r="AA20" s="9"/>
      <c r="AB20" s="9"/>
      <c r="AC20" s="9" t="s">
        <v>329</v>
      </c>
      <c r="AD20" s="9">
        <v>1.0</v>
      </c>
      <c r="AE20" s="9"/>
      <c r="AF20" s="9"/>
      <c r="AG20" s="9"/>
      <c r="AH20" s="9"/>
      <c r="AI20" s="9"/>
      <c r="AJ20" s="9"/>
      <c r="AK20" s="9"/>
      <c r="AL20" s="9"/>
      <c r="AM20" s="12" t="s">
        <v>330</v>
      </c>
      <c r="AN20" s="9">
        <v>1.0</v>
      </c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</row>
    <row r="21">
      <c r="A21" s="14" t="s">
        <v>331</v>
      </c>
      <c r="B21" s="8" t="s">
        <v>28</v>
      </c>
      <c r="C21" s="6" t="s">
        <v>332</v>
      </c>
      <c r="D21" s="9">
        <v>1.0</v>
      </c>
      <c r="E21" s="10" t="s">
        <v>333</v>
      </c>
      <c r="F21" s="9">
        <v>1.0</v>
      </c>
      <c r="G21" s="9" t="s">
        <v>334</v>
      </c>
      <c r="H21" s="9">
        <v>1.0</v>
      </c>
      <c r="I21" s="9"/>
      <c r="J21" s="9"/>
      <c r="K21" s="9" t="s">
        <v>335</v>
      </c>
      <c r="L21" s="9">
        <v>1.0</v>
      </c>
      <c r="M21" s="9" t="s">
        <v>336</v>
      </c>
      <c r="N21" s="9">
        <v>1.0</v>
      </c>
      <c r="O21" s="9"/>
      <c r="P21" s="9"/>
      <c r="Q21" s="9"/>
      <c r="R21" s="9"/>
      <c r="S21" s="9" t="s">
        <v>337</v>
      </c>
      <c r="T21" s="9">
        <v>1.0</v>
      </c>
      <c r="U21" s="9"/>
      <c r="V21" s="9"/>
      <c r="W21" s="9"/>
      <c r="X21" s="9"/>
      <c r="Y21" s="9"/>
      <c r="Z21" s="9"/>
      <c r="AA21" s="9"/>
      <c r="AB21" s="9"/>
      <c r="AC21" s="9" t="s">
        <v>338</v>
      </c>
      <c r="AD21" s="9">
        <v>1.0</v>
      </c>
      <c r="AE21" s="9"/>
      <c r="AF21" s="9"/>
      <c r="AG21" s="9"/>
      <c r="AH21" s="9"/>
      <c r="AI21" s="9"/>
      <c r="AJ21" s="9"/>
      <c r="AK21" s="9"/>
      <c r="AL21" s="9"/>
      <c r="AM21" s="12" t="s">
        <v>339</v>
      </c>
      <c r="AN21" s="9">
        <v>1.0</v>
      </c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</row>
    <row r="22">
      <c r="A22" s="15" t="s">
        <v>340</v>
      </c>
      <c r="B22" s="8" t="s">
        <v>28</v>
      </c>
      <c r="C22" s="6" t="s">
        <v>341</v>
      </c>
      <c r="D22" s="9">
        <v>1.0</v>
      </c>
      <c r="E22" s="10" t="s">
        <v>342</v>
      </c>
      <c r="F22" s="9">
        <v>1.0</v>
      </c>
      <c r="G22" s="9" t="s">
        <v>343</v>
      </c>
      <c r="H22" s="9">
        <v>1.0</v>
      </c>
      <c r="I22" s="9"/>
      <c r="J22" s="9"/>
      <c r="K22" s="9" t="s">
        <v>344</v>
      </c>
      <c r="L22" s="9">
        <v>1.0</v>
      </c>
      <c r="M22" s="9"/>
      <c r="N22" s="9"/>
      <c r="O22" s="9"/>
      <c r="P22" s="9"/>
      <c r="Q22" s="9"/>
      <c r="R22" s="9"/>
      <c r="S22" s="9" t="s">
        <v>345</v>
      </c>
      <c r="T22" s="9">
        <v>1.0</v>
      </c>
      <c r="U22" s="9"/>
      <c r="V22" s="9"/>
      <c r="W22" s="9"/>
      <c r="X22" s="9"/>
      <c r="Y22" s="9"/>
      <c r="Z22" s="9"/>
      <c r="AA22" s="9"/>
      <c r="AB22" s="9"/>
      <c r="AC22" s="9" t="s">
        <v>346</v>
      </c>
      <c r="AD22" s="9">
        <v>1.0</v>
      </c>
      <c r="AE22" s="9"/>
      <c r="AF22" s="9"/>
      <c r="AG22" s="9"/>
      <c r="AH22" s="9"/>
      <c r="AI22" s="9"/>
      <c r="AJ22" s="9"/>
      <c r="AK22" s="9"/>
      <c r="AL22" s="9"/>
      <c r="AM22" s="12" t="s">
        <v>347</v>
      </c>
      <c r="AN22" s="9">
        <v>1.0</v>
      </c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</row>
    <row r="23">
      <c r="A23" s="14" t="s">
        <v>348</v>
      </c>
      <c r="B23" s="8" t="s">
        <v>28</v>
      </c>
      <c r="C23" s="6" t="s">
        <v>349</v>
      </c>
      <c r="D23" s="9">
        <v>1.0</v>
      </c>
      <c r="E23" s="10" t="s">
        <v>350</v>
      </c>
      <c r="F23" s="9">
        <v>1.0</v>
      </c>
      <c r="G23" s="9" t="s">
        <v>351</v>
      </c>
      <c r="H23" s="9">
        <v>1.0</v>
      </c>
      <c r="I23" s="9"/>
      <c r="J23" s="9"/>
      <c r="K23" s="9" t="s">
        <v>352</v>
      </c>
      <c r="L23" s="9">
        <v>1.0</v>
      </c>
      <c r="M23" s="9"/>
      <c r="N23" s="9"/>
      <c r="O23" s="9"/>
      <c r="P23" s="9"/>
      <c r="Q23" s="9"/>
      <c r="R23" s="9"/>
      <c r="S23" s="9" t="s">
        <v>353</v>
      </c>
      <c r="T23" s="9">
        <v>1.0</v>
      </c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12" t="s">
        <v>354</v>
      </c>
      <c r="AN23" s="9">
        <v>1.0</v>
      </c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</row>
    <row r="24">
      <c r="A24" s="15" t="s">
        <v>355</v>
      </c>
      <c r="B24" s="8" t="s">
        <v>28</v>
      </c>
      <c r="C24" s="6" t="s">
        <v>356</v>
      </c>
      <c r="D24" s="9">
        <v>1.0</v>
      </c>
      <c r="E24" s="10" t="s">
        <v>357</v>
      </c>
      <c r="F24" s="9">
        <v>1.0</v>
      </c>
      <c r="G24" s="9" t="s">
        <v>358</v>
      </c>
      <c r="H24" s="9">
        <v>0.0</v>
      </c>
      <c r="I24" s="9"/>
      <c r="J24" s="9"/>
      <c r="K24" s="9" t="s">
        <v>359</v>
      </c>
      <c r="L24" s="9">
        <v>1.0</v>
      </c>
      <c r="M24" s="9"/>
      <c r="N24" s="9"/>
      <c r="O24" s="9"/>
      <c r="P24" s="9"/>
      <c r="Q24" s="9"/>
      <c r="R24" s="9"/>
      <c r="S24" s="9" t="s">
        <v>360</v>
      </c>
      <c r="T24" s="9">
        <v>1.0</v>
      </c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12" t="s">
        <v>361</v>
      </c>
      <c r="AN24" s="9">
        <v>1.0</v>
      </c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</row>
    <row r="25">
      <c r="A25" s="15" t="s">
        <v>362</v>
      </c>
      <c r="B25" s="8" t="s">
        <v>28</v>
      </c>
      <c r="C25" s="6" t="s">
        <v>363</v>
      </c>
      <c r="D25" s="9">
        <v>1.0</v>
      </c>
      <c r="E25" s="10" t="s">
        <v>364</v>
      </c>
      <c r="F25" s="9">
        <v>1.0</v>
      </c>
      <c r="G25" s="9" t="s">
        <v>365</v>
      </c>
      <c r="H25" s="9">
        <v>1.0</v>
      </c>
      <c r="I25" s="9"/>
      <c r="J25" s="9"/>
      <c r="K25" s="9" t="s">
        <v>366</v>
      </c>
      <c r="L25" s="9">
        <v>1.0</v>
      </c>
      <c r="M25" s="9"/>
      <c r="N25" s="9"/>
      <c r="O25" s="9"/>
      <c r="P25" s="9"/>
      <c r="Q25" s="9"/>
      <c r="R25" s="9"/>
      <c r="S25" s="9" t="s">
        <v>367</v>
      </c>
      <c r="T25" s="9">
        <v>1.0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12" t="s">
        <v>368</v>
      </c>
      <c r="AN25" s="9">
        <v>0.0</v>
      </c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</row>
    <row r="26">
      <c r="A26" s="13" t="s">
        <v>369</v>
      </c>
      <c r="B26" s="8" t="s">
        <v>28</v>
      </c>
      <c r="C26" s="6" t="s">
        <v>370</v>
      </c>
      <c r="D26" s="9">
        <v>1.0</v>
      </c>
      <c r="E26" s="10" t="s">
        <v>371</v>
      </c>
      <c r="F26" s="9">
        <v>1.0</v>
      </c>
      <c r="G26" s="9" t="s">
        <v>372</v>
      </c>
      <c r="H26" s="9">
        <v>0.0</v>
      </c>
      <c r="I26" s="9"/>
      <c r="J26" s="9"/>
      <c r="K26" s="9" t="s">
        <v>373</v>
      </c>
      <c r="L26" s="9">
        <v>1.0</v>
      </c>
      <c r="M26" s="9"/>
      <c r="N26" s="9"/>
      <c r="O26" s="9"/>
      <c r="P26" s="9"/>
      <c r="Q26" s="9"/>
      <c r="R26" s="9"/>
      <c r="S26" s="9" t="s">
        <v>374</v>
      </c>
      <c r="T26" s="9">
        <v>1.0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12" t="s">
        <v>375</v>
      </c>
      <c r="AN26" s="9">
        <v>1.0</v>
      </c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</row>
    <row r="27">
      <c r="A27" s="15" t="s">
        <v>376</v>
      </c>
      <c r="B27" s="8" t="s">
        <v>28</v>
      </c>
      <c r="C27" s="6" t="s">
        <v>86</v>
      </c>
      <c r="D27" s="9">
        <v>1.0</v>
      </c>
      <c r="E27" s="10" t="s">
        <v>377</v>
      </c>
      <c r="F27" s="9">
        <v>1.0</v>
      </c>
      <c r="G27" s="9" t="s">
        <v>378</v>
      </c>
      <c r="H27" s="9">
        <v>1.0</v>
      </c>
      <c r="I27" s="9"/>
      <c r="J27" s="9"/>
      <c r="K27" s="9" t="s">
        <v>379</v>
      </c>
      <c r="L27" s="9">
        <v>1.0</v>
      </c>
      <c r="M27" s="9"/>
      <c r="N27" s="9"/>
      <c r="O27" s="9"/>
      <c r="P27" s="9"/>
      <c r="Q27" s="9"/>
      <c r="R27" s="9"/>
      <c r="S27" s="9" t="s">
        <v>380</v>
      </c>
      <c r="T27" s="9">
        <v>1.0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12" t="s">
        <v>381</v>
      </c>
      <c r="AN27" s="9">
        <v>0.0</v>
      </c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</row>
    <row r="28">
      <c r="A28" s="14" t="s">
        <v>382</v>
      </c>
      <c r="B28" s="8" t="s">
        <v>28</v>
      </c>
      <c r="C28" s="6" t="s">
        <v>383</v>
      </c>
      <c r="D28" s="9">
        <v>1.0</v>
      </c>
      <c r="E28" s="10" t="s">
        <v>384</v>
      </c>
      <c r="F28" s="9">
        <v>1.0</v>
      </c>
      <c r="G28" s="9" t="s">
        <v>385</v>
      </c>
      <c r="H28" s="9">
        <v>1.0</v>
      </c>
      <c r="I28" s="9"/>
      <c r="J28" s="9"/>
      <c r="K28" s="9" t="s">
        <v>386</v>
      </c>
      <c r="L28" s="9">
        <v>1.0</v>
      </c>
      <c r="M28" s="9"/>
      <c r="N28" s="9"/>
      <c r="O28" s="9"/>
      <c r="P28" s="9"/>
      <c r="Q28" s="9"/>
      <c r="R28" s="9"/>
      <c r="S28" s="9" t="s">
        <v>387</v>
      </c>
      <c r="T28" s="9">
        <v>1.0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12" t="s">
        <v>388</v>
      </c>
      <c r="AN28" s="9">
        <v>1.0</v>
      </c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</row>
    <row r="29">
      <c r="A29" s="13" t="s">
        <v>302</v>
      </c>
      <c r="B29" s="8" t="s">
        <v>28</v>
      </c>
      <c r="C29" s="6" t="s">
        <v>389</v>
      </c>
      <c r="D29" s="9">
        <v>1.0</v>
      </c>
      <c r="E29" s="10" t="s">
        <v>390</v>
      </c>
      <c r="F29" s="9">
        <v>1.0</v>
      </c>
      <c r="G29" s="9" t="s">
        <v>391</v>
      </c>
      <c r="H29" s="9">
        <v>1.0</v>
      </c>
      <c r="I29" s="9"/>
      <c r="J29" s="9"/>
      <c r="K29" s="9" t="s">
        <v>392</v>
      </c>
      <c r="L29" s="9">
        <v>1.0</v>
      </c>
      <c r="M29" s="9"/>
      <c r="N29" s="9"/>
      <c r="O29" s="9"/>
      <c r="P29" s="9"/>
      <c r="Q29" s="9"/>
      <c r="R29" s="9"/>
      <c r="S29" s="9" t="s">
        <v>393</v>
      </c>
      <c r="T29" s="9">
        <v>1.0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12" t="s">
        <v>394</v>
      </c>
      <c r="AN29" s="9">
        <v>1.0</v>
      </c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</row>
    <row r="30">
      <c r="A30" s="14"/>
      <c r="B30" s="8"/>
      <c r="C30" s="6" t="s">
        <v>395</v>
      </c>
      <c r="D30" s="9">
        <v>1.0</v>
      </c>
      <c r="E30" s="10" t="s">
        <v>396</v>
      </c>
      <c r="F30" s="9">
        <v>1.0</v>
      </c>
      <c r="G30" s="9" t="s">
        <v>397</v>
      </c>
      <c r="H30" s="9">
        <v>1.0</v>
      </c>
      <c r="I30" s="9"/>
      <c r="J30" s="9"/>
      <c r="K30" s="9" t="s">
        <v>398</v>
      </c>
      <c r="L30" s="9">
        <v>1.0</v>
      </c>
      <c r="M30" s="9"/>
      <c r="N30" s="9"/>
      <c r="O30" s="9"/>
      <c r="P30" s="9"/>
      <c r="Q30" s="9"/>
      <c r="R30" s="9"/>
      <c r="S30" s="6"/>
      <c r="T30" s="9"/>
      <c r="U30" s="6"/>
      <c r="V30" s="9"/>
      <c r="W30" s="6"/>
      <c r="X30" s="9"/>
      <c r="Y30" s="6"/>
      <c r="Z30" s="9"/>
      <c r="AA30" s="6"/>
      <c r="AB30" s="9"/>
      <c r="AC30" s="6"/>
      <c r="AD30" s="9"/>
      <c r="AE30" s="6"/>
      <c r="AF30" s="9"/>
      <c r="AG30" s="6"/>
      <c r="AH30" s="9"/>
      <c r="AI30" s="6"/>
      <c r="AJ30" s="9"/>
      <c r="AK30" s="6"/>
      <c r="AL30" s="9"/>
      <c r="AM30" s="12" t="s">
        <v>399</v>
      </c>
      <c r="AN30" s="9">
        <v>1.0</v>
      </c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</row>
    <row r="31">
      <c r="A31" s="13"/>
      <c r="B31" s="8"/>
      <c r="C31" s="6" t="s">
        <v>400</v>
      </c>
      <c r="D31" s="9">
        <v>1.0</v>
      </c>
      <c r="E31" s="10" t="s">
        <v>401</v>
      </c>
      <c r="F31" s="9">
        <v>1.0</v>
      </c>
      <c r="G31" s="9" t="s">
        <v>402</v>
      </c>
      <c r="H31" s="9">
        <v>0.0</v>
      </c>
      <c r="I31" s="9"/>
      <c r="J31" s="9"/>
      <c r="K31" s="9" t="s">
        <v>403</v>
      </c>
      <c r="L31" s="9">
        <v>1.0</v>
      </c>
      <c r="M31" s="9"/>
      <c r="N31" s="9"/>
      <c r="O31" s="9"/>
      <c r="P31" s="9"/>
      <c r="Q31" s="9"/>
      <c r="R31" s="9"/>
      <c r="S31" s="6"/>
      <c r="T31" s="9"/>
      <c r="U31" s="6"/>
      <c r="V31" s="9"/>
      <c r="W31" s="6"/>
      <c r="X31" s="9"/>
      <c r="Y31" s="6"/>
      <c r="Z31" s="9"/>
      <c r="AA31" s="6"/>
      <c r="AB31" s="9"/>
      <c r="AC31" s="6"/>
      <c r="AD31" s="9"/>
      <c r="AE31" s="6"/>
      <c r="AF31" s="9"/>
      <c r="AG31" s="6"/>
      <c r="AH31" s="9"/>
      <c r="AI31" s="6"/>
      <c r="AJ31" s="9"/>
      <c r="AK31" s="6"/>
      <c r="AL31" s="9"/>
      <c r="AM31" s="12" t="s">
        <v>404</v>
      </c>
      <c r="AN31" s="9">
        <v>1.0</v>
      </c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</row>
    <row r="32">
      <c r="A32" s="13"/>
      <c r="B32" s="8"/>
      <c r="C32" s="6" t="s">
        <v>405</v>
      </c>
      <c r="D32" s="9">
        <v>1.0</v>
      </c>
      <c r="E32" s="10" t="s">
        <v>406</v>
      </c>
      <c r="F32" s="9">
        <v>1.0</v>
      </c>
      <c r="G32" s="9" t="s">
        <v>407</v>
      </c>
      <c r="H32" s="9">
        <v>1.0</v>
      </c>
      <c r="I32" s="9"/>
      <c r="J32" s="9"/>
      <c r="K32" s="9" t="s">
        <v>408</v>
      </c>
      <c r="L32" s="9">
        <v>1.0</v>
      </c>
      <c r="M32" s="9"/>
      <c r="N32" s="9"/>
      <c r="O32" s="9"/>
      <c r="P32" s="9"/>
      <c r="Q32" s="9"/>
      <c r="R32" s="9"/>
      <c r="S32" s="6"/>
      <c r="T32" s="9"/>
      <c r="U32" s="6"/>
      <c r="V32" s="9"/>
      <c r="W32" s="6"/>
      <c r="X32" s="9"/>
      <c r="Y32" s="6"/>
      <c r="Z32" s="9"/>
      <c r="AA32" s="6"/>
      <c r="AB32" s="9"/>
      <c r="AC32" s="6"/>
      <c r="AD32" s="9"/>
      <c r="AE32" s="6"/>
      <c r="AF32" s="9"/>
      <c r="AG32" s="6"/>
      <c r="AH32" s="9"/>
      <c r="AI32" s="6"/>
      <c r="AJ32" s="9"/>
      <c r="AK32" s="6"/>
      <c r="AL32" s="9"/>
      <c r="AM32" s="12" t="s">
        <v>409</v>
      </c>
      <c r="AN32" s="9">
        <v>1.0</v>
      </c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</row>
    <row r="33">
      <c r="A33" s="15"/>
      <c r="B33" s="8"/>
      <c r="C33" s="6" t="s">
        <v>410</v>
      </c>
      <c r="D33" s="9">
        <v>1.0</v>
      </c>
      <c r="E33" s="6"/>
      <c r="F33" s="9"/>
      <c r="G33" s="9" t="s">
        <v>411</v>
      </c>
      <c r="H33" s="9">
        <v>0.0</v>
      </c>
      <c r="I33" s="9"/>
      <c r="J33" s="9"/>
      <c r="K33" s="9" t="s">
        <v>412</v>
      </c>
      <c r="L33" s="9">
        <v>1.0</v>
      </c>
      <c r="M33" s="9"/>
      <c r="N33" s="9"/>
      <c r="O33" s="9"/>
      <c r="P33" s="9"/>
      <c r="Q33" s="9"/>
      <c r="R33" s="9"/>
      <c r="S33" s="6"/>
      <c r="T33" s="9"/>
      <c r="U33" s="6"/>
      <c r="V33" s="9"/>
      <c r="W33" s="6"/>
      <c r="X33" s="9"/>
      <c r="Y33" s="6"/>
      <c r="Z33" s="9"/>
      <c r="AA33" s="6"/>
      <c r="AB33" s="9"/>
      <c r="AC33" s="6"/>
      <c r="AD33" s="9"/>
      <c r="AE33" s="6"/>
      <c r="AF33" s="9"/>
      <c r="AG33" s="6"/>
      <c r="AH33" s="9"/>
      <c r="AI33" s="6"/>
      <c r="AJ33" s="9"/>
      <c r="AK33" s="6"/>
      <c r="AL33" s="9"/>
      <c r="AM33" s="12" t="s">
        <v>413</v>
      </c>
      <c r="AN33" s="9">
        <v>1.0</v>
      </c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</row>
    <row r="34">
      <c r="A34" s="14"/>
      <c r="B34" s="8"/>
      <c r="C34" s="6" t="s">
        <v>133</v>
      </c>
      <c r="D34" s="9">
        <v>1.0</v>
      </c>
      <c r="E34" s="6"/>
      <c r="F34" s="9"/>
      <c r="G34" s="9" t="s">
        <v>414</v>
      </c>
      <c r="H34" s="9">
        <v>1.0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6"/>
      <c r="T34" s="9"/>
      <c r="U34" s="6"/>
      <c r="V34" s="9"/>
      <c r="W34" s="6"/>
      <c r="X34" s="9"/>
      <c r="Y34" s="6"/>
      <c r="Z34" s="9"/>
      <c r="AA34" s="6"/>
      <c r="AB34" s="9"/>
      <c r="AC34" s="6"/>
      <c r="AD34" s="9"/>
      <c r="AE34" s="6"/>
      <c r="AF34" s="9"/>
      <c r="AG34" s="6"/>
      <c r="AH34" s="9"/>
      <c r="AI34" s="6"/>
      <c r="AJ34" s="9"/>
      <c r="AK34" s="6"/>
      <c r="AL34" s="9"/>
      <c r="AM34" s="12" t="s">
        <v>415</v>
      </c>
      <c r="AN34" s="9">
        <v>1.0</v>
      </c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</row>
    <row r="35">
      <c r="A35" s="14"/>
      <c r="B35" s="8"/>
      <c r="C35" s="6" t="s">
        <v>416</v>
      </c>
      <c r="D35" s="9">
        <v>1.0</v>
      </c>
      <c r="E35" s="6"/>
      <c r="F35" s="9"/>
      <c r="G35" s="9" t="s">
        <v>417</v>
      </c>
      <c r="H35" s="9">
        <v>1.0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6"/>
      <c r="T35" s="9"/>
      <c r="U35" s="6"/>
      <c r="V35" s="9"/>
      <c r="W35" s="6"/>
      <c r="X35" s="9"/>
      <c r="Y35" s="6"/>
      <c r="Z35" s="9"/>
      <c r="AA35" s="6"/>
      <c r="AB35" s="9"/>
      <c r="AC35" s="6"/>
      <c r="AD35" s="9"/>
      <c r="AE35" s="6"/>
      <c r="AF35" s="9"/>
      <c r="AG35" s="6"/>
      <c r="AH35" s="9"/>
      <c r="AI35" s="6"/>
      <c r="AJ35" s="9"/>
      <c r="AK35" s="6"/>
      <c r="AL35" s="9"/>
      <c r="AM35" s="12" t="s">
        <v>418</v>
      </c>
      <c r="AN35" s="9">
        <v>1.0</v>
      </c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</row>
    <row r="36">
      <c r="A36" s="16"/>
      <c r="B36" s="8"/>
      <c r="C36" s="6" t="s">
        <v>419</v>
      </c>
      <c r="D36" s="9">
        <v>1.0</v>
      </c>
      <c r="E36" s="6"/>
      <c r="F36" s="9"/>
      <c r="G36" s="9" t="s">
        <v>420</v>
      </c>
      <c r="H36" s="9">
        <v>1.0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6"/>
      <c r="T36" s="9"/>
      <c r="U36" s="6"/>
      <c r="V36" s="9"/>
      <c r="W36" s="6"/>
      <c r="X36" s="9"/>
      <c r="Y36" s="6"/>
      <c r="Z36" s="9"/>
      <c r="AA36" s="6"/>
      <c r="AB36" s="9"/>
      <c r="AC36" s="6"/>
      <c r="AD36" s="9"/>
      <c r="AE36" s="6"/>
      <c r="AF36" s="9"/>
      <c r="AG36" s="6"/>
      <c r="AH36" s="9"/>
      <c r="AI36" s="6"/>
      <c r="AJ36" s="9"/>
      <c r="AK36" s="6"/>
      <c r="AL36" s="9"/>
      <c r="AM36" s="12" t="s">
        <v>421</v>
      </c>
      <c r="AN36" s="9">
        <v>1.0</v>
      </c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</row>
    <row r="37">
      <c r="A37" s="14"/>
      <c r="B37" s="8"/>
      <c r="C37" s="6" t="s">
        <v>422</v>
      </c>
      <c r="D37" s="9">
        <v>1.0</v>
      </c>
      <c r="E37" s="6"/>
      <c r="F37" s="9"/>
      <c r="G37" s="9" t="s">
        <v>423</v>
      </c>
      <c r="H37" s="9">
        <v>1.0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6"/>
      <c r="T37" s="9"/>
      <c r="U37" s="6"/>
      <c r="V37" s="9"/>
      <c r="W37" s="6"/>
      <c r="X37" s="9"/>
      <c r="Y37" s="6"/>
      <c r="Z37" s="9"/>
      <c r="AA37" s="6"/>
      <c r="AB37" s="9"/>
      <c r="AC37" s="6"/>
      <c r="AD37" s="9"/>
      <c r="AE37" s="6"/>
      <c r="AF37" s="9"/>
      <c r="AG37" s="6"/>
      <c r="AH37" s="9"/>
      <c r="AI37" s="6"/>
      <c r="AJ37" s="9"/>
      <c r="AK37" s="6"/>
      <c r="AL37" s="9"/>
      <c r="AM37" s="12" t="s">
        <v>424</v>
      </c>
      <c r="AN37" s="9">
        <v>1.0</v>
      </c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</row>
    <row r="38">
      <c r="A38" s="14"/>
      <c r="B38" s="8"/>
      <c r="C38" s="6" t="s">
        <v>425</v>
      </c>
      <c r="D38" s="9">
        <v>1.0</v>
      </c>
      <c r="E38" s="6"/>
      <c r="F38" s="9"/>
      <c r="G38" s="9" t="s">
        <v>426</v>
      </c>
      <c r="H38" s="9">
        <v>1.0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6"/>
      <c r="T38" s="9"/>
      <c r="U38" s="6"/>
      <c r="V38" s="9"/>
      <c r="W38" s="6"/>
      <c r="X38" s="9"/>
      <c r="Y38" s="6"/>
      <c r="Z38" s="9"/>
      <c r="AA38" s="6"/>
      <c r="AB38" s="9"/>
      <c r="AC38" s="6"/>
      <c r="AD38" s="9"/>
      <c r="AE38" s="6"/>
      <c r="AF38" s="9"/>
      <c r="AG38" s="6"/>
      <c r="AH38" s="9"/>
      <c r="AI38" s="6"/>
      <c r="AJ38" s="9"/>
      <c r="AK38" s="6"/>
      <c r="AL38" s="9"/>
      <c r="AM38" s="12" t="s">
        <v>427</v>
      </c>
      <c r="AN38" s="9">
        <v>1.0</v>
      </c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</row>
    <row r="39">
      <c r="A39" s="7"/>
      <c r="B39" s="8"/>
      <c r="C39" s="6" t="s">
        <v>428</v>
      </c>
      <c r="D39" s="9">
        <v>1.0</v>
      </c>
      <c r="E39" s="6"/>
      <c r="F39" s="9"/>
      <c r="G39" s="9" t="s">
        <v>429</v>
      </c>
      <c r="H39" s="9">
        <v>1.0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6"/>
      <c r="T39" s="9"/>
      <c r="U39" s="6"/>
      <c r="V39" s="9"/>
      <c r="W39" s="6"/>
      <c r="X39" s="9"/>
      <c r="Y39" s="6"/>
      <c r="Z39" s="9"/>
      <c r="AA39" s="6"/>
      <c r="AB39" s="9"/>
      <c r="AC39" s="6"/>
      <c r="AD39" s="9"/>
      <c r="AE39" s="6"/>
      <c r="AF39" s="9"/>
      <c r="AG39" s="6"/>
      <c r="AH39" s="9"/>
      <c r="AI39" s="6"/>
      <c r="AJ39" s="9"/>
      <c r="AK39" s="6"/>
      <c r="AL39" s="9"/>
      <c r="AM39" s="12" t="s">
        <v>430</v>
      </c>
      <c r="AN39" s="9">
        <v>1.0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</row>
    <row r="40">
      <c r="A40" s="14"/>
      <c r="B40" s="8"/>
      <c r="C40" s="6" t="s">
        <v>431</v>
      </c>
      <c r="D40" s="9">
        <v>1.0</v>
      </c>
      <c r="E40" s="6"/>
      <c r="F40" s="9"/>
      <c r="G40" s="9" t="s">
        <v>432</v>
      </c>
      <c r="H40" s="9">
        <v>0.0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12" t="s">
        <v>433</v>
      </c>
      <c r="AN40" s="9">
        <v>1.0</v>
      </c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</row>
    <row r="41">
      <c r="A41" s="14"/>
      <c r="B41" s="8"/>
      <c r="C41" s="6" t="s">
        <v>110</v>
      </c>
      <c r="D41" s="9">
        <v>1.0</v>
      </c>
      <c r="E41" s="6"/>
      <c r="F41" s="9"/>
      <c r="G41" s="9" t="s">
        <v>434</v>
      </c>
      <c r="H41" s="9">
        <v>1.0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12" t="s">
        <v>435</v>
      </c>
      <c r="AN41" s="9">
        <v>1.0</v>
      </c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</row>
    <row r="42">
      <c r="A42" s="14"/>
      <c r="B42" s="8"/>
      <c r="C42" s="6" t="s">
        <v>436</v>
      </c>
      <c r="D42" s="9">
        <v>1.0</v>
      </c>
      <c r="E42" s="6"/>
      <c r="F42" s="9"/>
      <c r="G42" s="9" t="s">
        <v>437</v>
      </c>
      <c r="H42" s="9">
        <v>1.0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12" t="s">
        <v>438</v>
      </c>
      <c r="AN42" s="9">
        <v>1.0</v>
      </c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</row>
    <row r="43">
      <c r="A43" s="14"/>
      <c r="B43" s="8"/>
      <c r="C43" s="6" t="s">
        <v>439</v>
      </c>
      <c r="D43" s="9">
        <v>1.0</v>
      </c>
      <c r="E43" s="6"/>
      <c r="F43" s="9"/>
      <c r="G43" s="9" t="s">
        <v>440</v>
      </c>
      <c r="H43" s="9">
        <v>1.0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12" t="s">
        <v>441</v>
      </c>
      <c r="AN43" s="9">
        <v>1.0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</row>
    <row r="44">
      <c r="A44" s="14"/>
      <c r="B44" s="8"/>
      <c r="C44" s="6" t="s">
        <v>442</v>
      </c>
      <c r="D44" s="9">
        <v>1.0</v>
      </c>
      <c r="E44" s="6"/>
      <c r="F44" s="9"/>
      <c r="G44" s="9" t="s">
        <v>443</v>
      </c>
      <c r="H44" s="9">
        <v>1.0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12" t="s">
        <v>444</v>
      </c>
      <c r="AN44" s="9">
        <v>1.0</v>
      </c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</row>
    <row r="45">
      <c r="A45" s="14"/>
      <c r="B45" s="8"/>
      <c r="C45" s="6" t="s">
        <v>445</v>
      </c>
      <c r="D45" s="9">
        <v>1.0</v>
      </c>
      <c r="E45" s="6"/>
      <c r="F45" s="9"/>
      <c r="G45" s="9" t="s">
        <v>446</v>
      </c>
      <c r="H45" s="9">
        <v>1.0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12" t="s">
        <v>447</v>
      </c>
      <c r="AN45" s="9">
        <v>1.0</v>
      </c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</row>
    <row r="46">
      <c r="A46" s="14"/>
      <c r="B46" s="8"/>
      <c r="C46" s="6" t="s">
        <v>448</v>
      </c>
      <c r="D46" s="9">
        <v>1.0</v>
      </c>
      <c r="E46" s="6"/>
      <c r="F46" s="9"/>
      <c r="G46" s="9" t="s">
        <v>449</v>
      </c>
      <c r="H46" s="9">
        <v>1.0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12" t="s">
        <v>450</v>
      </c>
      <c r="AN46" s="9">
        <v>0.0</v>
      </c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</row>
    <row r="47">
      <c r="A47" s="13"/>
      <c r="B47" s="8"/>
      <c r="C47" s="6" t="s">
        <v>451</v>
      </c>
      <c r="D47" s="9">
        <v>1.0</v>
      </c>
      <c r="E47" s="6"/>
      <c r="F47" s="9"/>
      <c r="G47" s="9" t="s">
        <v>452</v>
      </c>
      <c r="H47" s="9">
        <v>1.0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12" t="s">
        <v>453</v>
      </c>
      <c r="AN47" s="9">
        <v>1.0</v>
      </c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</row>
    <row r="48">
      <c r="A48" s="13"/>
      <c r="B48" s="8"/>
      <c r="C48" s="6" t="s">
        <v>454</v>
      </c>
      <c r="D48" s="9">
        <v>1.0</v>
      </c>
      <c r="E48" s="6"/>
      <c r="F48" s="9"/>
      <c r="G48" s="9" t="s">
        <v>455</v>
      </c>
      <c r="H48" s="9">
        <v>0.0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12" t="s">
        <v>456</v>
      </c>
      <c r="AN48" s="9">
        <v>1.0</v>
      </c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</row>
    <row r="49">
      <c r="A49" s="14"/>
      <c r="B49" s="8"/>
      <c r="C49" s="6" t="s">
        <v>457</v>
      </c>
      <c r="D49" s="9">
        <v>1.0</v>
      </c>
      <c r="E49" s="6"/>
      <c r="F49" s="9"/>
      <c r="G49" s="9" t="s">
        <v>458</v>
      </c>
      <c r="H49" s="9">
        <v>1.0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12" t="s">
        <v>459</v>
      </c>
      <c r="AN49" s="9">
        <v>1.0</v>
      </c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</row>
    <row r="50">
      <c r="A50" s="14"/>
      <c r="B50" s="8"/>
      <c r="C50" s="6" t="s">
        <v>460</v>
      </c>
      <c r="D50" s="9">
        <v>1.0</v>
      </c>
      <c r="E50" s="6"/>
      <c r="F50" s="9"/>
      <c r="G50" s="9" t="s">
        <v>461</v>
      </c>
      <c r="H50" s="9">
        <v>1.0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12" t="s">
        <v>462</v>
      </c>
      <c r="AN50" s="9">
        <v>1.0</v>
      </c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</row>
    <row r="51">
      <c r="A51" s="14"/>
      <c r="B51" s="8"/>
      <c r="C51" s="6" t="s">
        <v>463</v>
      </c>
      <c r="D51" s="9">
        <v>1.0</v>
      </c>
      <c r="E51" s="6"/>
      <c r="F51" s="9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12" t="s">
        <v>464</v>
      </c>
      <c r="AN51" s="9">
        <v>1.0</v>
      </c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</row>
    <row r="52">
      <c r="A52" s="14"/>
      <c r="B52" s="8"/>
      <c r="C52" s="6" t="s">
        <v>61</v>
      </c>
      <c r="D52" s="9">
        <v>1.0</v>
      </c>
      <c r="E52" s="6"/>
      <c r="F52" s="9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12" t="s">
        <v>465</v>
      </c>
      <c r="AN52" s="9">
        <v>1.0</v>
      </c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</row>
    <row r="53">
      <c r="A53" s="15"/>
      <c r="B53" s="8"/>
      <c r="C53" s="6" t="s">
        <v>466</v>
      </c>
      <c r="D53" s="9">
        <v>1.0</v>
      </c>
      <c r="E53" s="6"/>
      <c r="F53" s="9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12" t="s">
        <v>467</v>
      </c>
      <c r="AN53" s="9">
        <v>1.0</v>
      </c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</row>
    <row r="54">
      <c r="A54" s="14"/>
      <c r="B54" s="8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12" t="s">
        <v>468</v>
      </c>
      <c r="AN54" s="9">
        <v>1.0</v>
      </c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</row>
    <row r="55">
      <c r="A55" s="15"/>
      <c r="B55" s="8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12" t="s">
        <v>469</v>
      </c>
      <c r="AN55" s="9">
        <v>1.0</v>
      </c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</row>
    <row r="56">
      <c r="A56" s="15"/>
      <c r="B56" s="8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12" t="s">
        <v>470</v>
      </c>
      <c r="AN56" s="9">
        <v>1.0</v>
      </c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</row>
    <row r="57">
      <c r="A57" s="15"/>
      <c r="B57" s="8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12" t="s">
        <v>471</v>
      </c>
      <c r="AN57" s="9">
        <v>1.0</v>
      </c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</row>
    <row r="58">
      <c r="A58" s="15"/>
      <c r="B58" s="8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12" t="s">
        <v>472</v>
      </c>
      <c r="AN58" s="9">
        <v>1.0</v>
      </c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</row>
    <row r="59">
      <c r="A59" s="14"/>
      <c r="B59" s="8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12" t="s">
        <v>473</v>
      </c>
      <c r="AN59" s="9">
        <v>1.0</v>
      </c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</row>
    <row r="60">
      <c r="A60" s="14"/>
      <c r="B60" s="8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12" t="s">
        <v>474</v>
      </c>
      <c r="AN60" s="9">
        <v>1.0</v>
      </c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</row>
    <row r="61">
      <c r="A61" s="14"/>
      <c r="B61" s="8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12" t="s">
        <v>475</v>
      </c>
      <c r="AN61" s="9">
        <v>1.0</v>
      </c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</row>
    <row r="62">
      <c r="A62" s="14"/>
      <c r="B62" s="8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12" t="s">
        <v>476</v>
      </c>
      <c r="AN62" s="9">
        <v>1.0</v>
      </c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</row>
    <row r="63">
      <c r="A63" s="14"/>
      <c r="B63" s="8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12" t="s">
        <v>477</v>
      </c>
      <c r="AN63" s="9">
        <v>1.0</v>
      </c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</row>
    <row r="64">
      <c r="A64" s="14"/>
      <c r="B64" s="8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12" t="s">
        <v>368</v>
      </c>
      <c r="AN64" s="9">
        <v>1.0</v>
      </c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</row>
    <row r="65">
      <c r="A65" s="14"/>
      <c r="B65" s="8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12" t="s">
        <v>254</v>
      </c>
      <c r="AN65" s="9">
        <v>1.0</v>
      </c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</row>
    <row r="66">
      <c r="A66" s="16"/>
      <c r="B66" s="8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12" t="s">
        <v>478</v>
      </c>
      <c r="AN66" s="9">
        <v>1.0</v>
      </c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</row>
    <row r="67">
      <c r="A67" s="14"/>
      <c r="B67" s="8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12" t="s">
        <v>479</v>
      </c>
      <c r="AN67" s="9">
        <v>1.0</v>
      </c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</row>
    <row r="68">
      <c r="A68" s="14"/>
      <c r="B68" s="8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</row>
    <row r="69">
      <c r="A69" s="14"/>
      <c r="B69" s="9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</row>
    <row r="70">
      <c r="A70" s="14"/>
      <c r="B70" s="9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</row>
    <row r="71">
      <c r="A71" s="14"/>
      <c r="B71" s="9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</row>
    <row r="72">
      <c r="A72" s="14"/>
      <c r="B72" s="9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</row>
    <row r="73">
      <c r="A73" s="17"/>
      <c r="B73" s="9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</row>
    <row r="74">
      <c r="A74" s="17"/>
      <c r="B74" s="9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</row>
    <row r="75">
      <c r="A75" s="17"/>
      <c r="B75" s="9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</row>
    <row r="76">
      <c r="A76" s="17"/>
      <c r="B76" s="9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</row>
    <row r="77">
      <c r="A77" s="17"/>
      <c r="B77" s="9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</row>
    <row r="78">
      <c r="A78" s="17"/>
      <c r="B78" s="9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</row>
    <row r="79">
      <c r="A79" s="14"/>
      <c r="B79" s="9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</row>
    <row r="80">
      <c r="A80" s="17"/>
      <c r="B80" s="9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</row>
    <row r="81">
      <c r="A81" s="17"/>
      <c r="B81" s="9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</row>
    <row r="82">
      <c r="A82" s="17"/>
      <c r="B82" s="9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</row>
    <row r="83">
      <c r="A83" s="17"/>
      <c r="B83" s="9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</row>
    <row r="84">
      <c r="A84" s="18"/>
      <c r="B84" s="9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</row>
    <row r="85">
      <c r="A85" s="18"/>
      <c r="B85" s="9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</row>
    <row r="86">
      <c r="A86" s="19"/>
      <c r="B86" s="9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</row>
    <row r="87">
      <c r="A87" s="17"/>
      <c r="B87" s="9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</row>
    <row r="88">
      <c r="A88" s="17"/>
      <c r="B88" s="9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</row>
    <row r="89">
      <c r="A89" s="17"/>
      <c r="B89" s="9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</row>
    <row r="90">
      <c r="A90" s="19"/>
      <c r="B90" s="9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</row>
    <row r="91">
      <c r="A91" s="17"/>
      <c r="B91" s="9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</row>
    <row r="92">
      <c r="A92" s="17"/>
      <c r="B92" s="9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</row>
    <row r="93">
      <c r="A93" s="17"/>
      <c r="B93" s="9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</row>
    <row r="94">
      <c r="A94" s="17"/>
      <c r="B94" s="9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</row>
    <row r="95">
      <c r="A95" s="17"/>
      <c r="B95" s="9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</row>
    <row r="96">
      <c r="A96" s="17"/>
      <c r="B96" s="9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</row>
    <row r="97">
      <c r="A97" s="17"/>
      <c r="B97" s="9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</row>
    <row r="98">
      <c r="A98" s="17"/>
      <c r="B98" s="9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</row>
    <row r="99">
      <c r="A99" s="17"/>
      <c r="B99" s="9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</row>
    <row r="100">
      <c r="A100" s="18"/>
      <c r="B100" s="9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</row>
    <row r="101">
      <c r="A101" s="18"/>
      <c r="B101" s="9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</row>
    <row r="102">
      <c r="A102" s="18"/>
      <c r="B102" s="9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</row>
    <row r="103">
      <c r="A103" s="17"/>
      <c r="B103" s="9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</row>
    <row r="104">
      <c r="A104" s="20"/>
      <c r="B104" s="9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</row>
    <row r="105">
      <c r="A105" s="17"/>
      <c r="B105" s="9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</row>
    <row r="106">
      <c r="A106" s="18"/>
      <c r="B106" s="9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</row>
    <row r="107">
      <c r="A107" s="17"/>
      <c r="B107" s="9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</row>
    <row r="108">
      <c r="A108" s="17"/>
      <c r="B108" s="9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</row>
    <row r="109">
      <c r="A109" s="17"/>
      <c r="B109" s="9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</row>
    <row r="110">
      <c r="A110" s="17"/>
      <c r="B110" s="9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</row>
    <row r="111">
      <c r="A111" s="17"/>
      <c r="B111" s="9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</row>
    <row r="112">
      <c r="A112" s="17"/>
      <c r="B112" s="9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</row>
    <row r="113">
      <c r="A113" s="17"/>
      <c r="B113" s="9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</row>
    <row r="114">
      <c r="A114" s="17"/>
      <c r="B114" s="9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</row>
    <row r="115">
      <c r="A115" s="17"/>
      <c r="B115" s="9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</row>
    <row r="116">
      <c r="A116" s="17"/>
      <c r="B116" s="9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</row>
    <row r="117">
      <c r="A117" s="17"/>
      <c r="B117" s="9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</row>
    <row r="118">
      <c r="A118" s="17"/>
      <c r="B118" s="9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</row>
    <row r="119">
      <c r="A119" s="17"/>
      <c r="B119" s="9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</row>
    <row r="120">
      <c r="A120" s="17"/>
      <c r="B120" s="9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</row>
    <row r="121">
      <c r="A121" s="18"/>
      <c r="B121" s="9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</row>
    <row r="122">
      <c r="A122" s="17"/>
      <c r="B122" s="9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</row>
    <row r="123">
      <c r="A123" s="18"/>
      <c r="B123" s="9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</row>
    <row r="124">
      <c r="A124" s="18"/>
      <c r="B124" s="9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</row>
    <row r="125">
      <c r="A125" s="17"/>
      <c r="B125" s="9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</row>
    <row r="126">
      <c r="A126" s="17"/>
      <c r="B126" s="9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</row>
    <row r="127">
      <c r="A127" s="17"/>
      <c r="B127" s="9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</row>
    <row r="128">
      <c r="A128" s="17"/>
      <c r="B128" s="9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</row>
    <row r="129">
      <c r="A129" s="17"/>
      <c r="B129" s="9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</row>
    <row r="130">
      <c r="A130" s="17"/>
      <c r="B130" s="9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</row>
    <row r="131">
      <c r="A131" s="17"/>
      <c r="B131" s="9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</row>
    <row r="132">
      <c r="A132" s="17"/>
      <c r="B132" s="9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</row>
    <row r="133">
      <c r="A133" s="17"/>
      <c r="B133" s="9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</row>
    <row r="134">
      <c r="A134" s="17"/>
      <c r="B134" s="9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</row>
    <row r="135">
      <c r="A135" s="17"/>
      <c r="B135" s="9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</row>
    <row r="136">
      <c r="A136" s="17"/>
      <c r="B136" s="9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</row>
    <row r="137">
      <c r="A137" s="17"/>
      <c r="B137" s="9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</row>
    <row r="138">
      <c r="A138" s="14"/>
      <c r="B138" s="9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</row>
    <row r="139">
      <c r="A139" s="17"/>
      <c r="B139" s="9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</row>
    <row r="140">
      <c r="A140" s="17"/>
      <c r="B140" s="9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</row>
    <row r="141">
      <c r="A141" s="17"/>
      <c r="B141" s="9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</row>
    <row r="142">
      <c r="A142" s="17"/>
      <c r="B142" s="9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</row>
    <row r="143">
      <c r="A143" s="17"/>
      <c r="B143" s="9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</row>
    <row r="144">
      <c r="A144" s="17"/>
      <c r="B144" s="9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</row>
    <row r="145">
      <c r="A145" s="17"/>
      <c r="B145" s="9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</row>
    <row r="146">
      <c r="A146" s="17"/>
      <c r="B146" s="9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</row>
    <row r="147">
      <c r="A147" s="17"/>
      <c r="B147" s="9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</row>
    <row r="148">
      <c r="A148" s="17"/>
      <c r="B148" s="9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</row>
    <row r="149">
      <c r="A149" s="17"/>
      <c r="B149" s="9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</row>
    <row r="150">
      <c r="A150" s="18"/>
      <c r="B150" s="9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</row>
    <row r="151">
      <c r="A151" s="17"/>
      <c r="B151" s="9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</row>
    <row r="152">
      <c r="A152" s="17"/>
      <c r="B152" s="9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</row>
    <row r="153">
      <c r="A153" s="18"/>
      <c r="B153" s="9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</row>
    <row r="154">
      <c r="A154" s="17"/>
      <c r="B154" s="9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</row>
    <row r="155">
      <c r="A155" s="17"/>
      <c r="B155" s="9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</row>
    <row r="156">
      <c r="A156" s="17"/>
      <c r="B156" s="9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</row>
    <row r="157">
      <c r="A157" s="17"/>
      <c r="B157" s="9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</row>
    <row r="158">
      <c r="A158" s="17"/>
      <c r="B158" s="9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</row>
    <row r="159">
      <c r="A159" s="17"/>
      <c r="B159" s="9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</row>
    <row r="160">
      <c r="A160" s="17"/>
      <c r="B160" s="9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</row>
    <row r="161">
      <c r="A161" s="17"/>
      <c r="B161" s="9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</row>
    <row r="162">
      <c r="A162" s="17"/>
      <c r="B162" s="9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</row>
    <row r="163">
      <c r="A163" s="9"/>
      <c r="B163" s="9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</row>
    <row r="164">
      <c r="A164" s="9"/>
      <c r="B164" s="9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</row>
    <row r="165">
      <c r="A165" s="9"/>
      <c r="B165" s="9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</row>
    <row r="166">
      <c r="A166" s="9"/>
      <c r="B166" s="9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</row>
    <row r="167">
      <c r="A167" s="9"/>
      <c r="B167" s="9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</row>
    <row r="168">
      <c r="A168" s="9"/>
      <c r="B168" s="9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</row>
    <row r="169">
      <c r="A169" s="9"/>
      <c r="B169" s="9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</row>
    <row r="170">
      <c r="A170" s="9"/>
      <c r="B170" s="9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</row>
    <row r="171">
      <c r="A171" s="9"/>
      <c r="B171" s="9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</row>
    <row r="172">
      <c r="A172" s="9"/>
      <c r="B172" s="9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</row>
    <row r="173">
      <c r="A173" s="9"/>
      <c r="B173" s="9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</row>
    <row r="174">
      <c r="A174" s="9"/>
      <c r="B174" s="9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</row>
    <row r="175">
      <c r="A175" s="9"/>
      <c r="B175" s="9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</row>
    <row r="176">
      <c r="A176" s="9"/>
      <c r="B176" s="9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</row>
    <row r="177">
      <c r="A177" s="9"/>
      <c r="B177" s="9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</row>
    <row r="178">
      <c r="A178" s="9"/>
      <c r="B178" s="9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</row>
    <row r="179">
      <c r="A179" s="9"/>
      <c r="B179" s="9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</row>
    <row r="180">
      <c r="A180" s="9"/>
      <c r="B180" s="9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</row>
    <row r="181">
      <c r="A181" s="9"/>
      <c r="B181" s="9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</row>
    <row r="182">
      <c r="A182" s="9"/>
      <c r="B182" s="9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</row>
    <row r="183">
      <c r="A183" s="9"/>
      <c r="B183" s="9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</row>
    <row r="184">
      <c r="A184" s="9"/>
      <c r="B184" s="9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</row>
    <row r="185">
      <c r="A185" s="9"/>
      <c r="B185" s="9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</row>
    <row r="186">
      <c r="A186" s="9"/>
      <c r="B186" s="9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</row>
    <row r="187">
      <c r="A187" s="9"/>
      <c r="B187" s="9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</row>
    <row r="188">
      <c r="A188" s="9"/>
      <c r="B188" s="9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</row>
    <row r="189">
      <c r="A189" s="9"/>
      <c r="B189" s="9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</row>
    <row r="190">
      <c r="A190" s="9"/>
      <c r="B190" s="9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</row>
    <row r="191">
      <c r="A191" s="9"/>
      <c r="B191" s="9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</row>
    <row r="192">
      <c r="A192" s="9"/>
      <c r="B192" s="9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</row>
    <row r="193">
      <c r="A193" s="9"/>
      <c r="B193" s="9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</row>
    <row r="194">
      <c r="A194" s="9"/>
      <c r="B194" s="9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</row>
    <row r="195">
      <c r="A195" s="9"/>
      <c r="B195" s="9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</row>
    <row r="196">
      <c r="A196" s="9"/>
      <c r="B196" s="9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</row>
    <row r="197">
      <c r="A197" s="9"/>
      <c r="B197" s="9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</row>
    <row r="198">
      <c r="A198" s="9"/>
      <c r="B198" s="9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</row>
    <row r="199">
      <c r="A199" s="9"/>
      <c r="B199" s="9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</row>
    <row r="200">
      <c r="A200" s="9"/>
      <c r="B200" s="9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</row>
    <row r="201">
      <c r="A201" s="9"/>
      <c r="B201" s="9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</row>
    <row r="202">
      <c r="A202" s="9"/>
      <c r="B202" s="9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</row>
    <row r="203">
      <c r="A203" s="9"/>
      <c r="B203" s="9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</row>
    <row r="204">
      <c r="A204" s="9"/>
      <c r="B204" s="9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</row>
    <row r="205">
      <c r="A205" s="9"/>
      <c r="B205" s="9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</row>
    <row r="206">
      <c r="A206" s="9"/>
      <c r="B206" s="9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</row>
    <row r="207">
      <c r="A207" s="9"/>
      <c r="B207" s="9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</row>
    <row r="208">
      <c r="A208" s="9"/>
      <c r="B208" s="9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</row>
    <row r="209">
      <c r="A209" s="9"/>
      <c r="B209" s="9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</row>
    <row r="210">
      <c r="A210" s="9"/>
      <c r="B210" s="9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</row>
    <row r="211">
      <c r="A211" s="9"/>
      <c r="B211" s="9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</row>
    <row r="212">
      <c r="A212" s="9"/>
      <c r="B212" s="9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</row>
    <row r="213">
      <c r="A213" s="9"/>
      <c r="B213" s="9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</row>
    <row r="214">
      <c r="A214" s="9"/>
      <c r="B214" s="9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</row>
    <row r="215">
      <c r="A215" s="9"/>
      <c r="B215" s="9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</row>
    <row r="216">
      <c r="A216" s="9"/>
      <c r="B216" s="9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</row>
    <row r="217">
      <c r="A217" s="9"/>
      <c r="B217" s="9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</row>
    <row r="218">
      <c r="A218" s="9"/>
      <c r="B218" s="9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</row>
    <row r="219">
      <c r="A219" s="9"/>
      <c r="B219" s="9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</row>
    <row r="220">
      <c r="A220" s="9"/>
      <c r="B220" s="9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</row>
    <row r="221">
      <c r="A221" s="9"/>
      <c r="B221" s="9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</row>
    <row r="222">
      <c r="A222" s="9"/>
      <c r="B222" s="9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</row>
    <row r="223">
      <c r="A223" s="9"/>
      <c r="B223" s="9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</row>
    <row r="224">
      <c r="A224" s="9"/>
      <c r="B224" s="9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</row>
    <row r="225">
      <c r="A225" s="9"/>
      <c r="B225" s="9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</row>
    <row r="226">
      <c r="A226" s="9"/>
      <c r="B226" s="9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</row>
    <row r="227">
      <c r="A227" s="9"/>
      <c r="B227" s="9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</row>
    <row r="228">
      <c r="A228" s="9"/>
      <c r="B228" s="9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</row>
    <row r="229">
      <c r="A229" s="9"/>
      <c r="B229" s="9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</row>
    <row r="230">
      <c r="A230" s="9"/>
      <c r="B230" s="9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</row>
    <row r="231">
      <c r="A231" s="9"/>
      <c r="B231" s="9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</row>
    <row r="232">
      <c r="A232" s="9"/>
      <c r="B232" s="9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</row>
    <row r="233">
      <c r="A233" s="9"/>
      <c r="B233" s="9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</row>
    <row r="234">
      <c r="A234" s="9"/>
      <c r="B234" s="9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</row>
    <row r="235">
      <c r="A235" s="9"/>
      <c r="B235" s="9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</row>
    <row r="236">
      <c r="A236" s="9"/>
      <c r="B236" s="9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</row>
    <row r="237">
      <c r="A237" s="9"/>
      <c r="B237" s="9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</row>
    <row r="238">
      <c r="A238" s="9"/>
      <c r="B238" s="9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</row>
    <row r="239">
      <c r="A239" s="9"/>
      <c r="B239" s="9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</row>
    <row r="240">
      <c r="A240" s="9"/>
      <c r="B240" s="9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</row>
    <row r="241">
      <c r="A241" s="9"/>
      <c r="B241" s="9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</row>
    <row r="242">
      <c r="A242" s="9"/>
      <c r="B242" s="9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</row>
    <row r="243">
      <c r="A243" s="9"/>
      <c r="B243" s="9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</row>
    <row r="244">
      <c r="A244" s="9"/>
      <c r="B244" s="9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</row>
    <row r="245">
      <c r="A245" s="9"/>
      <c r="B245" s="9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</row>
    <row r="246">
      <c r="A246" s="9"/>
      <c r="B246" s="9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</row>
    <row r="247">
      <c r="A247" s="9"/>
      <c r="B247" s="9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</row>
    <row r="248">
      <c r="A248" s="9"/>
      <c r="B248" s="9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</row>
    <row r="249">
      <c r="A249" s="9"/>
      <c r="B249" s="9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</row>
    <row r="250">
      <c r="A250" s="9"/>
      <c r="B250" s="9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</row>
    <row r="251">
      <c r="A251" s="9"/>
      <c r="B251" s="9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</row>
    <row r="252">
      <c r="A252" s="9"/>
      <c r="B252" s="9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</row>
    <row r="253">
      <c r="A253" s="9"/>
      <c r="B253" s="9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</row>
    <row r="254">
      <c r="A254" s="9"/>
      <c r="B254" s="9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</row>
    <row r="255">
      <c r="A255" s="9"/>
      <c r="B255" s="9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</row>
    <row r="256">
      <c r="A256" s="9"/>
      <c r="B256" s="9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</row>
    <row r="257">
      <c r="A257" s="9"/>
      <c r="B257" s="9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</row>
    <row r="258">
      <c r="A258" s="9"/>
      <c r="B258" s="9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</row>
    <row r="259">
      <c r="A259" s="9"/>
      <c r="B259" s="9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</row>
    <row r="260">
      <c r="A260" s="9"/>
      <c r="B260" s="9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</row>
    <row r="261">
      <c r="A261" s="9"/>
      <c r="B261" s="9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</row>
    <row r="262">
      <c r="A262" s="9"/>
      <c r="B262" s="9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</row>
    <row r="263">
      <c r="A263" s="9"/>
      <c r="B263" s="9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</row>
    <row r="264">
      <c r="A264" s="9"/>
      <c r="B264" s="9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</row>
    <row r="265">
      <c r="A265" s="9"/>
      <c r="B265" s="9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</row>
    <row r="266">
      <c r="A266" s="9"/>
      <c r="B266" s="9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</row>
    <row r="267">
      <c r="A267" s="9"/>
      <c r="B267" s="9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</row>
    <row r="268">
      <c r="A268" s="9"/>
      <c r="B268" s="9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</row>
    <row r="269">
      <c r="A269" s="9"/>
      <c r="B269" s="9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</row>
    <row r="270">
      <c r="A270" s="9"/>
      <c r="B270" s="9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</row>
    <row r="271">
      <c r="A271" s="9"/>
      <c r="B271" s="9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</row>
    <row r="272">
      <c r="A272" s="9"/>
      <c r="B272" s="9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</row>
    <row r="273">
      <c r="A273" s="9"/>
      <c r="B273" s="9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</row>
    <row r="274">
      <c r="A274" s="9"/>
      <c r="B274" s="9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</row>
    <row r="275">
      <c r="A275" s="9"/>
      <c r="B275" s="9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</row>
    <row r="276">
      <c r="A276" s="9"/>
      <c r="B276" s="9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</row>
    <row r="277">
      <c r="A277" s="9"/>
      <c r="B277" s="9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</row>
    <row r="278">
      <c r="A278" s="9"/>
      <c r="B278" s="9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</row>
    <row r="279">
      <c r="A279" s="9"/>
      <c r="B279" s="9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</row>
    <row r="280">
      <c r="A280" s="9"/>
      <c r="B280" s="9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</row>
    <row r="281">
      <c r="A281" s="9"/>
      <c r="B281" s="9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</row>
    <row r="282">
      <c r="A282" s="9"/>
      <c r="B282" s="9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</row>
    <row r="283">
      <c r="A283" s="9"/>
      <c r="B283" s="9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</row>
    <row r="284">
      <c r="A284" s="9"/>
      <c r="B284" s="9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</row>
    <row r="285">
      <c r="A285" s="9"/>
      <c r="B285" s="9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</row>
    <row r="286">
      <c r="A286" s="9"/>
      <c r="B286" s="9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</row>
    <row r="287">
      <c r="A287" s="9"/>
      <c r="B287" s="9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</row>
    <row r="288">
      <c r="A288" s="9"/>
      <c r="B288" s="9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</row>
    <row r="289">
      <c r="A289" s="9"/>
      <c r="B289" s="9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</row>
    <row r="290">
      <c r="A290" s="9"/>
      <c r="B290" s="9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</row>
    <row r="291">
      <c r="A291" s="9"/>
      <c r="B291" s="9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</row>
    <row r="292">
      <c r="A292" s="9"/>
      <c r="B292" s="9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</row>
    <row r="293">
      <c r="A293" s="9"/>
      <c r="B293" s="9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</row>
    <row r="294">
      <c r="A294" s="9"/>
      <c r="B294" s="9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</row>
    <row r="295">
      <c r="A295" s="9"/>
      <c r="B295" s="9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</row>
    <row r="296">
      <c r="A296" s="9"/>
      <c r="B296" s="9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</row>
    <row r="297">
      <c r="A297" s="9"/>
      <c r="B297" s="9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</row>
    <row r="298">
      <c r="A298" s="9"/>
      <c r="B298" s="9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</row>
    <row r="299">
      <c r="A299" s="9"/>
      <c r="B299" s="9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</row>
    <row r="300">
      <c r="A300" s="9"/>
      <c r="B300" s="9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</row>
    <row r="301">
      <c r="A301" s="9"/>
      <c r="B301" s="9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</row>
    <row r="302">
      <c r="A302" s="9"/>
      <c r="B302" s="9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</row>
    <row r="303">
      <c r="A303" s="9"/>
      <c r="B303" s="9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</row>
    <row r="304">
      <c r="A304" s="9"/>
      <c r="B304" s="9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</row>
    <row r="305">
      <c r="A305" s="9"/>
      <c r="B305" s="9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</row>
    <row r="306">
      <c r="A306" s="9"/>
      <c r="B306" s="9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</row>
    <row r="307">
      <c r="A307" s="9"/>
      <c r="B307" s="9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</row>
    <row r="308">
      <c r="A308" s="9"/>
      <c r="B308" s="9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</row>
    <row r="309">
      <c r="A309" s="9"/>
      <c r="B309" s="9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</row>
    <row r="310">
      <c r="A310" s="9"/>
      <c r="B310" s="9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</row>
    <row r="311">
      <c r="A311" s="9"/>
      <c r="B311" s="9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/>
      <c r="BO867" s="6"/>
      <c r="BP867" s="6"/>
      <c r="BQ867" s="6"/>
      <c r="BR867" s="6"/>
      <c r="BS867" s="6"/>
      <c r="BT867" s="6"/>
      <c r="BU867" s="6"/>
      <c r="BV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/>
      <c r="BH880" s="6"/>
      <c r="BI880" s="6"/>
      <c r="BJ880" s="6"/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  <c r="BS884" s="6"/>
      <c r="BT884" s="6"/>
      <c r="BU884" s="6"/>
      <c r="BV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  <c r="BS891" s="6"/>
      <c r="BT891" s="6"/>
      <c r="BU891" s="6"/>
      <c r="BV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  <c r="BS910" s="6"/>
      <c r="BT910" s="6"/>
      <c r="BU910" s="6"/>
      <c r="BV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  <c r="BS918" s="6"/>
      <c r="BT918" s="6"/>
      <c r="BU918" s="6"/>
      <c r="BV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  <c r="BS924" s="6"/>
      <c r="BT924" s="6"/>
      <c r="BU924" s="6"/>
      <c r="BV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6"/>
      <c r="BB926" s="6"/>
      <c r="BC926" s="6"/>
      <c r="BD926" s="6"/>
      <c r="BE926" s="6"/>
      <c r="BF926" s="6"/>
      <c r="BG926" s="6"/>
      <c r="BH926" s="6"/>
      <c r="BI926" s="6"/>
      <c r="BJ926" s="6"/>
      <c r="BK926" s="6"/>
      <c r="BL926" s="6"/>
      <c r="BM926" s="6"/>
      <c r="BN926" s="6"/>
      <c r="BO926" s="6"/>
      <c r="BP926" s="6"/>
      <c r="BQ926" s="6"/>
      <c r="BR926" s="6"/>
      <c r="BS926" s="6"/>
      <c r="BT926" s="6"/>
      <c r="BU926" s="6"/>
      <c r="BV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/>
      <c r="BN927" s="6"/>
      <c r="BO927" s="6"/>
      <c r="BP927" s="6"/>
      <c r="BQ927" s="6"/>
      <c r="BR927" s="6"/>
      <c r="BS927" s="6"/>
      <c r="BT927" s="6"/>
      <c r="BU927" s="6"/>
      <c r="BV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/>
      <c r="BR928" s="6"/>
      <c r="BS928" s="6"/>
      <c r="BT928" s="6"/>
      <c r="BU928" s="6"/>
      <c r="BV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  <c r="BK930" s="6"/>
      <c r="BL930" s="6"/>
      <c r="BM930" s="6"/>
      <c r="BN930" s="6"/>
      <c r="BO930" s="6"/>
      <c r="BP930" s="6"/>
      <c r="BQ930" s="6"/>
      <c r="BR930" s="6"/>
      <c r="BS930" s="6"/>
      <c r="BT930" s="6"/>
      <c r="BU930" s="6"/>
      <c r="BV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  <c r="BS936" s="6"/>
      <c r="BT936" s="6"/>
      <c r="BU936" s="6"/>
      <c r="BV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  <c r="BS941" s="6"/>
      <c r="BT941" s="6"/>
      <c r="BU941" s="6"/>
      <c r="BV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  <c r="BS943" s="6"/>
      <c r="BT943" s="6"/>
      <c r="BU943" s="6"/>
      <c r="BV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  <c r="BS945" s="6"/>
      <c r="BT945" s="6"/>
      <c r="BU945" s="6"/>
      <c r="BV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  <c r="BK946" s="6"/>
      <c r="BL946" s="6"/>
      <c r="BM946" s="6"/>
      <c r="BN946" s="6"/>
      <c r="BO946" s="6"/>
      <c r="BP946" s="6"/>
      <c r="BQ946" s="6"/>
      <c r="BR946" s="6"/>
      <c r="BS946" s="6"/>
      <c r="BT946" s="6"/>
      <c r="BU946" s="6"/>
      <c r="BV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  <c r="BS948" s="6"/>
      <c r="BT948" s="6"/>
      <c r="BU948" s="6"/>
      <c r="BV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/>
      <c r="BV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  <c r="BS965" s="6"/>
      <c r="BT965" s="6"/>
      <c r="BU965" s="6"/>
      <c r="BV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/>
      <c r="BT966" s="6"/>
      <c r="BU966" s="6"/>
      <c r="BV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  <c r="BK968" s="6"/>
      <c r="BL968" s="6"/>
      <c r="BM968" s="6"/>
      <c r="BN968" s="6"/>
      <c r="BO968" s="6"/>
      <c r="BP968" s="6"/>
      <c r="BQ968" s="6"/>
      <c r="BR968" s="6"/>
      <c r="BS968" s="6"/>
      <c r="BT968" s="6"/>
      <c r="BU968" s="6"/>
      <c r="BV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/>
      <c r="BV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  <c r="BS973" s="6"/>
      <c r="BT973" s="6"/>
      <c r="BU973" s="6"/>
      <c r="BV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  <c r="BS974" s="6"/>
      <c r="BT974" s="6"/>
      <c r="BU974" s="6"/>
      <c r="BV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/>
      <c r="BK975" s="6"/>
      <c r="BL975" s="6"/>
      <c r="BM975" s="6"/>
      <c r="BN975" s="6"/>
      <c r="BO975" s="6"/>
      <c r="BP975" s="6"/>
      <c r="BQ975" s="6"/>
      <c r="BR975" s="6"/>
      <c r="BS975" s="6"/>
      <c r="BT975" s="6"/>
      <c r="BU975" s="6"/>
      <c r="BV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  <c r="BS985" s="6"/>
      <c r="BT985" s="6"/>
      <c r="BU985" s="6"/>
      <c r="BV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  <c r="BS988" s="6"/>
      <c r="BT988" s="6"/>
      <c r="BU988" s="6"/>
      <c r="BV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  <c r="BS990" s="6"/>
      <c r="BT990" s="6"/>
      <c r="BU990" s="6"/>
      <c r="BV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  <c r="BS992" s="6"/>
      <c r="BT992" s="6"/>
      <c r="BU992" s="6"/>
      <c r="BV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  <c r="BS994" s="6"/>
      <c r="BT994" s="6"/>
      <c r="BU994" s="6"/>
      <c r="BV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  <c r="BK997" s="6"/>
      <c r="BL997" s="6"/>
      <c r="BM997" s="6"/>
      <c r="BN997" s="6"/>
      <c r="BO997" s="6"/>
      <c r="BP997" s="6"/>
      <c r="BQ997" s="6"/>
      <c r="BR997" s="6"/>
      <c r="BS997" s="6"/>
      <c r="BT997" s="6"/>
      <c r="BU997" s="6"/>
      <c r="BV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T999" s="6"/>
      <c r="BU999" s="6"/>
      <c r="BV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  <c r="BI1000" s="6"/>
      <c r="BJ1000" s="6"/>
      <c r="BK1000" s="6"/>
      <c r="BL1000" s="6"/>
      <c r="BM1000" s="6"/>
      <c r="BN1000" s="6"/>
      <c r="BO1000" s="6"/>
      <c r="BP1000" s="6"/>
      <c r="BQ1000" s="6"/>
      <c r="BR1000" s="6"/>
      <c r="BS1000" s="6"/>
      <c r="BT1000" s="6"/>
      <c r="BU1000" s="6"/>
      <c r="BV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480</v>
      </c>
      <c r="B1" s="21" t="s">
        <v>481</v>
      </c>
    </row>
    <row r="2">
      <c r="A2" s="22" t="s">
        <v>52</v>
      </c>
      <c r="B2" s="22" t="s">
        <v>25</v>
      </c>
      <c r="C2" s="23">
        <v>0.0</v>
      </c>
    </row>
    <row r="3">
      <c r="A3" s="22" t="s">
        <v>59</v>
      </c>
      <c r="B3" s="22" t="s">
        <v>6</v>
      </c>
      <c r="C3" s="23">
        <v>0.0</v>
      </c>
    </row>
    <row r="4">
      <c r="A4" s="22" t="s">
        <v>84</v>
      </c>
      <c r="B4" s="22" t="s">
        <v>6</v>
      </c>
      <c r="C4" s="23">
        <v>0.0</v>
      </c>
    </row>
    <row r="5">
      <c r="A5" s="22" t="s">
        <v>102</v>
      </c>
      <c r="B5" s="22" t="s">
        <v>26</v>
      </c>
      <c r="C5" s="23">
        <v>0.0</v>
      </c>
    </row>
    <row r="6">
      <c r="A6" s="22" t="s">
        <v>114</v>
      </c>
      <c r="B6" s="22" t="s">
        <v>12</v>
      </c>
      <c r="C6" s="23">
        <v>0.0</v>
      </c>
    </row>
    <row r="7">
      <c r="A7" s="22" t="s">
        <v>117</v>
      </c>
      <c r="B7" s="22" t="s">
        <v>15</v>
      </c>
      <c r="C7" s="23">
        <v>0.0</v>
      </c>
    </row>
    <row r="8">
      <c r="A8" s="22" t="s">
        <v>27</v>
      </c>
      <c r="B8" s="22" t="s">
        <v>16</v>
      </c>
      <c r="C8" s="23">
        <v>0.0</v>
      </c>
    </row>
    <row r="9">
      <c r="A9" s="22" t="s">
        <v>139</v>
      </c>
      <c r="B9" s="22" t="s">
        <v>14</v>
      </c>
      <c r="C9" s="23">
        <v>0.0</v>
      </c>
    </row>
    <row r="10">
      <c r="A10" s="22" t="s">
        <v>164</v>
      </c>
      <c r="B10" s="22" t="s">
        <v>19</v>
      </c>
      <c r="C10" s="23">
        <v>0.0</v>
      </c>
    </row>
    <row r="11">
      <c r="A11" s="22" t="s">
        <v>181</v>
      </c>
      <c r="B11" s="22" t="s">
        <v>19</v>
      </c>
      <c r="C11" s="23">
        <v>0.0</v>
      </c>
    </row>
    <row r="12">
      <c r="A12" s="22" t="s">
        <v>195</v>
      </c>
      <c r="B12" s="22" t="s">
        <v>15</v>
      </c>
      <c r="C12" s="23">
        <v>0.0</v>
      </c>
    </row>
    <row r="13">
      <c r="A13" s="22" t="s">
        <v>204</v>
      </c>
      <c r="B13" s="22" t="s">
        <v>6</v>
      </c>
      <c r="C13" s="23">
        <v>0.0</v>
      </c>
    </row>
    <row r="14">
      <c r="A14" s="22" t="s">
        <v>219</v>
      </c>
      <c r="B14" s="22" t="s">
        <v>6</v>
      </c>
      <c r="C14" s="23">
        <v>0.0</v>
      </c>
    </row>
    <row r="15">
      <c r="A15" s="22" t="s">
        <v>231</v>
      </c>
      <c r="B15" s="22" t="s">
        <v>4</v>
      </c>
      <c r="C15" s="23">
        <v>0.0</v>
      </c>
    </row>
    <row r="16">
      <c r="A16" s="22" t="s">
        <v>254</v>
      </c>
      <c r="B16" s="22" t="s">
        <v>20</v>
      </c>
      <c r="C16" s="23">
        <v>0.0</v>
      </c>
    </row>
    <row r="17">
      <c r="A17" s="22" t="s">
        <v>302</v>
      </c>
      <c r="B17" s="22" t="s">
        <v>2</v>
      </c>
      <c r="C17" s="23">
        <v>0.0</v>
      </c>
    </row>
    <row r="18">
      <c r="A18" s="22" t="s">
        <v>309</v>
      </c>
      <c r="B18" s="22" t="s">
        <v>15</v>
      </c>
      <c r="C18" s="23">
        <v>0.0</v>
      </c>
    </row>
    <row r="19">
      <c r="A19" s="22" t="s">
        <v>358</v>
      </c>
      <c r="B19" s="22" t="s">
        <v>4</v>
      </c>
      <c r="C19" s="23">
        <v>0.0</v>
      </c>
    </row>
    <row r="20">
      <c r="A20" s="22" t="s">
        <v>368</v>
      </c>
      <c r="B20" s="22" t="s">
        <v>20</v>
      </c>
      <c r="C20" s="23">
        <v>0.0</v>
      </c>
    </row>
    <row r="21">
      <c r="A21" s="22" t="s">
        <v>372</v>
      </c>
      <c r="B21" s="22" t="s">
        <v>4</v>
      </c>
      <c r="C21" s="23">
        <v>0.0</v>
      </c>
    </row>
    <row r="22">
      <c r="A22" s="22" t="s">
        <v>381</v>
      </c>
      <c r="B22" s="22" t="s">
        <v>20</v>
      </c>
      <c r="C22" s="23">
        <v>0.0</v>
      </c>
    </row>
    <row r="23">
      <c r="A23" s="22" t="s">
        <v>402</v>
      </c>
      <c r="B23" s="22" t="s">
        <v>4</v>
      </c>
      <c r="C23" s="23">
        <v>0.0</v>
      </c>
    </row>
    <row r="24">
      <c r="A24" s="22" t="s">
        <v>411</v>
      </c>
      <c r="B24" s="22" t="s">
        <v>4</v>
      </c>
      <c r="C24" s="23">
        <v>0.0</v>
      </c>
    </row>
    <row r="25">
      <c r="A25" s="22" t="s">
        <v>432</v>
      </c>
      <c r="B25" s="22" t="s">
        <v>4</v>
      </c>
      <c r="C25" s="23">
        <v>0.0</v>
      </c>
    </row>
    <row r="26">
      <c r="A26" s="22" t="s">
        <v>450</v>
      </c>
      <c r="B26" s="22" t="s">
        <v>20</v>
      </c>
      <c r="C26" s="23">
        <v>0.0</v>
      </c>
    </row>
    <row r="27">
      <c r="A27" s="22" t="s">
        <v>455</v>
      </c>
      <c r="B27" s="22" t="s">
        <v>4</v>
      </c>
      <c r="C27" s="23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29.13"/>
    <col customWidth="1" min="3" max="3" width="18.75"/>
    <col customWidth="1" min="4" max="4" width="6.13"/>
    <col customWidth="1" min="5" max="5" width="10.0"/>
    <col customWidth="1" min="6" max="6" width="12.25"/>
    <col customWidth="1" min="7" max="7" width="9.5"/>
    <col customWidth="1" min="8" max="8" width="13.25"/>
    <col customWidth="1" min="9" max="9" width="7.13"/>
    <col customWidth="1" min="10" max="10" width="10.0"/>
  </cols>
  <sheetData>
    <row r="1" ht="15.75" customHeight="1">
      <c r="A1" s="24" t="s">
        <v>482</v>
      </c>
      <c r="B1" s="24" t="s">
        <v>480</v>
      </c>
      <c r="C1" s="24" t="s">
        <v>483</v>
      </c>
      <c r="D1" s="24" t="s">
        <v>484</v>
      </c>
      <c r="E1" s="24" t="s">
        <v>485</v>
      </c>
      <c r="F1" s="25" t="s">
        <v>486</v>
      </c>
      <c r="G1" s="25" t="s">
        <v>487</v>
      </c>
      <c r="H1" s="25" t="s">
        <v>488</v>
      </c>
      <c r="I1" s="24" t="s">
        <v>489</v>
      </c>
      <c r="J1" s="24" t="s">
        <v>490</v>
      </c>
    </row>
    <row r="2">
      <c r="A2" s="26" t="s">
        <v>491</v>
      </c>
      <c r="B2" s="22" t="s">
        <v>492</v>
      </c>
      <c r="C2" s="26" t="s">
        <v>491</v>
      </c>
      <c r="D2" s="22" t="s">
        <v>493</v>
      </c>
      <c r="E2" s="27">
        <v>46508.0</v>
      </c>
      <c r="F2" s="28">
        <f t="shared" ref="F2:F22" si="1">IF(E2="","",E2-TODAY())</f>
        <v>365</v>
      </c>
      <c r="G2" s="28" t="str">
        <f t="shared" ref="G2:G22" si="2">IF(F2="","",IF(F2&lt;0,"Vencido",IF(F2&lt;=240,"Crítico",IF(F2&lt;=450,"Atenção","OK"))))</f>
        <v>Atenção</v>
      </c>
      <c r="H2" s="28" t="str">
        <f t="shared" ref="H2:H22" si="3">IF(OR(G2="Crítico",G2="Vencido",G2="Atenção"),"SIM","NÃO")</f>
        <v>SIM</v>
      </c>
      <c r="I2" s="22" t="s">
        <v>494</v>
      </c>
    </row>
    <row r="3">
      <c r="A3" s="26" t="s">
        <v>491</v>
      </c>
      <c r="B3" s="22" t="s">
        <v>495</v>
      </c>
      <c r="C3" s="26" t="s">
        <v>491</v>
      </c>
      <c r="D3" s="22" t="s">
        <v>493</v>
      </c>
      <c r="E3" s="27">
        <v>46600.0</v>
      </c>
      <c r="F3" s="28">
        <f t="shared" si="1"/>
        <v>457</v>
      </c>
      <c r="G3" s="28" t="str">
        <f t="shared" si="2"/>
        <v>OK</v>
      </c>
      <c r="H3" s="28" t="str">
        <f t="shared" si="3"/>
        <v>NÃO</v>
      </c>
      <c r="I3" s="22" t="s">
        <v>494</v>
      </c>
    </row>
    <row r="4">
      <c r="A4" s="26" t="s">
        <v>491</v>
      </c>
      <c r="B4" s="22" t="s">
        <v>496</v>
      </c>
      <c r="C4" s="26" t="s">
        <v>491</v>
      </c>
      <c r="D4" s="22" t="s">
        <v>493</v>
      </c>
      <c r="E4" s="27">
        <v>46661.0</v>
      </c>
      <c r="F4" s="28">
        <f t="shared" si="1"/>
        <v>518</v>
      </c>
      <c r="G4" s="28" t="str">
        <f t="shared" si="2"/>
        <v>OK</v>
      </c>
      <c r="H4" s="28" t="str">
        <f t="shared" si="3"/>
        <v>NÃO</v>
      </c>
      <c r="I4" s="22" t="s">
        <v>494</v>
      </c>
    </row>
    <row r="5">
      <c r="A5" s="26" t="s">
        <v>491</v>
      </c>
      <c r="B5" s="22" t="s">
        <v>497</v>
      </c>
      <c r="C5" s="26" t="s">
        <v>491</v>
      </c>
      <c r="D5" s="22" t="s">
        <v>498</v>
      </c>
      <c r="E5" s="27">
        <v>46539.0</v>
      </c>
      <c r="F5" s="28">
        <f t="shared" si="1"/>
        <v>396</v>
      </c>
      <c r="G5" s="28" t="str">
        <f t="shared" si="2"/>
        <v>Atenção</v>
      </c>
      <c r="H5" s="28" t="str">
        <f t="shared" si="3"/>
        <v>SIM</v>
      </c>
      <c r="I5" s="22" t="s">
        <v>494</v>
      </c>
    </row>
    <row r="6">
      <c r="A6" s="26"/>
      <c r="B6" s="22" t="s">
        <v>499</v>
      </c>
      <c r="C6" s="26" t="s">
        <v>491</v>
      </c>
      <c r="D6" s="22" t="s">
        <v>500</v>
      </c>
      <c r="E6" s="27">
        <v>46813.0</v>
      </c>
      <c r="F6" s="28">
        <f t="shared" si="1"/>
        <v>670</v>
      </c>
      <c r="G6" s="28" t="str">
        <f t="shared" si="2"/>
        <v>OK</v>
      </c>
      <c r="H6" s="28" t="str">
        <f t="shared" si="3"/>
        <v>NÃO</v>
      </c>
      <c r="I6" s="22" t="s">
        <v>494</v>
      </c>
    </row>
    <row r="7">
      <c r="A7" s="26" t="s">
        <v>491</v>
      </c>
      <c r="B7" s="22" t="s">
        <v>501</v>
      </c>
      <c r="C7" s="26" t="s">
        <v>491</v>
      </c>
      <c r="D7" s="22" t="s">
        <v>500</v>
      </c>
      <c r="E7" s="27">
        <v>46784.0</v>
      </c>
      <c r="F7" s="28">
        <f t="shared" si="1"/>
        <v>641</v>
      </c>
      <c r="G7" s="28" t="str">
        <f t="shared" si="2"/>
        <v>OK</v>
      </c>
      <c r="H7" s="28" t="str">
        <f t="shared" si="3"/>
        <v>NÃO</v>
      </c>
      <c r="I7" s="22" t="s">
        <v>494</v>
      </c>
    </row>
    <row r="8" ht="15.75" customHeight="1">
      <c r="A8" s="26" t="s">
        <v>491</v>
      </c>
      <c r="B8" s="22" t="s">
        <v>502</v>
      </c>
      <c r="C8" s="26" t="s">
        <v>491</v>
      </c>
      <c r="F8" s="28" t="str">
        <f t="shared" si="1"/>
        <v/>
      </c>
      <c r="G8" s="28" t="str">
        <f t="shared" si="2"/>
        <v/>
      </c>
      <c r="H8" s="28" t="str">
        <f t="shared" si="3"/>
        <v>NÃO</v>
      </c>
    </row>
    <row r="9">
      <c r="A9" s="26" t="s">
        <v>491</v>
      </c>
      <c r="B9" s="22" t="s">
        <v>503</v>
      </c>
      <c r="C9" s="26" t="s">
        <v>491</v>
      </c>
      <c r="D9" s="22" t="s">
        <v>500</v>
      </c>
      <c r="E9" s="27">
        <v>46784.0</v>
      </c>
      <c r="F9" s="28">
        <f t="shared" si="1"/>
        <v>641</v>
      </c>
      <c r="G9" s="28" t="str">
        <f t="shared" si="2"/>
        <v>OK</v>
      </c>
      <c r="H9" s="28" t="str">
        <f t="shared" si="3"/>
        <v>NÃO</v>
      </c>
      <c r="I9" s="22" t="s">
        <v>494</v>
      </c>
    </row>
    <row r="10">
      <c r="A10" s="26" t="s">
        <v>491</v>
      </c>
      <c r="B10" s="22" t="s">
        <v>504</v>
      </c>
      <c r="C10" s="26" t="s">
        <v>491</v>
      </c>
      <c r="D10" s="22" t="s">
        <v>500</v>
      </c>
      <c r="E10" s="27">
        <v>47058.0</v>
      </c>
      <c r="F10" s="28">
        <f t="shared" si="1"/>
        <v>915</v>
      </c>
      <c r="G10" s="28" t="str">
        <f t="shared" si="2"/>
        <v>OK</v>
      </c>
      <c r="H10" s="28" t="str">
        <f t="shared" si="3"/>
        <v>NÃO</v>
      </c>
      <c r="I10" s="22" t="s">
        <v>494</v>
      </c>
    </row>
    <row r="11">
      <c r="A11" s="26" t="s">
        <v>491</v>
      </c>
      <c r="B11" s="22" t="s">
        <v>505</v>
      </c>
      <c r="C11" s="26" t="s">
        <v>491</v>
      </c>
      <c r="D11" s="22" t="s">
        <v>500</v>
      </c>
      <c r="E11" s="29">
        <v>46813.0</v>
      </c>
      <c r="F11" s="28">
        <f t="shared" si="1"/>
        <v>670</v>
      </c>
      <c r="G11" s="28" t="str">
        <f t="shared" si="2"/>
        <v>OK</v>
      </c>
      <c r="H11" s="28" t="str">
        <f t="shared" si="3"/>
        <v>NÃO</v>
      </c>
      <c r="I11" s="22" t="s">
        <v>494</v>
      </c>
    </row>
    <row r="12">
      <c r="A12" s="26" t="s">
        <v>491</v>
      </c>
      <c r="B12" s="22" t="s">
        <v>506</v>
      </c>
      <c r="C12" s="26" t="s">
        <v>491</v>
      </c>
      <c r="D12" s="22" t="s">
        <v>500</v>
      </c>
      <c r="E12" s="29">
        <v>46813.0</v>
      </c>
      <c r="F12" s="28">
        <f t="shared" si="1"/>
        <v>670</v>
      </c>
      <c r="G12" s="28" t="str">
        <f t="shared" si="2"/>
        <v>OK</v>
      </c>
      <c r="H12" s="28" t="str">
        <f t="shared" si="3"/>
        <v>NÃO</v>
      </c>
      <c r="I12" s="22" t="s">
        <v>494</v>
      </c>
    </row>
    <row r="13">
      <c r="A13" s="26" t="s">
        <v>491</v>
      </c>
      <c r="B13" s="22" t="s">
        <v>507</v>
      </c>
      <c r="C13" s="26" t="s">
        <v>491</v>
      </c>
      <c r="D13" s="22" t="s">
        <v>500</v>
      </c>
      <c r="E13" s="27">
        <v>46722.0</v>
      </c>
      <c r="F13" s="28">
        <f t="shared" si="1"/>
        <v>579</v>
      </c>
      <c r="G13" s="28" t="str">
        <f t="shared" si="2"/>
        <v>OK</v>
      </c>
      <c r="H13" s="28" t="str">
        <f t="shared" si="3"/>
        <v>NÃO</v>
      </c>
      <c r="I13" s="22" t="s">
        <v>494</v>
      </c>
    </row>
    <row r="14">
      <c r="A14" s="26" t="s">
        <v>491</v>
      </c>
      <c r="B14" s="22" t="s">
        <v>508</v>
      </c>
      <c r="C14" s="26" t="s">
        <v>491</v>
      </c>
      <c r="F14" s="28" t="str">
        <f t="shared" si="1"/>
        <v/>
      </c>
      <c r="G14" s="28" t="str">
        <f t="shared" si="2"/>
        <v/>
      </c>
      <c r="H14" s="28" t="str">
        <f t="shared" si="3"/>
        <v>NÃO</v>
      </c>
    </row>
    <row r="15">
      <c r="A15" s="26" t="s">
        <v>491</v>
      </c>
      <c r="B15" s="22" t="s">
        <v>509</v>
      </c>
      <c r="C15" s="26" t="s">
        <v>491</v>
      </c>
      <c r="F15" s="28" t="str">
        <f t="shared" si="1"/>
        <v/>
      </c>
      <c r="G15" s="28" t="str">
        <f t="shared" si="2"/>
        <v/>
      </c>
      <c r="H15" s="28" t="str">
        <f t="shared" si="3"/>
        <v>NÃO</v>
      </c>
    </row>
    <row r="16">
      <c r="A16" s="26" t="s">
        <v>491</v>
      </c>
      <c r="B16" s="22" t="s">
        <v>510</v>
      </c>
      <c r="C16" s="26" t="s">
        <v>491</v>
      </c>
      <c r="F16" s="28" t="str">
        <f t="shared" si="1"/>
        <v/>
      </c>
      <c r="G16" s="28" t="str">
        <f t="shared" si="2"/>
        <v/>
      </c>
      <c r="H16" s="28" t="str">
        <f t="shared" si="3"/>
        <v>NÃO</v>
      </c>
    </row>
    <row r="17">
      <c r="A17" s="26" t="s">
        <v>491</v>
      </c>
      <c r="B17" s="22" t="s">
        <v>511</v>
      </c>
      <c r="C17" s="26" t="s">
        <v>491</v>
      </c>
      <c r="F17" s="28" t="str">
        <f t="shared" si="1"/>
        <v/>
      </c>
      <c r="G17" s="28" t="str">
        <f t="shared" si="2"/>
        <v/>
      </c>
      <c r="H17" s="28" t="str">
        <f t="shared" si="3"/>
        <v>NÃO</v>
      </c>
    </row>
    <row r="18">
      <c r="A18" s="26" t="s">
        <v>491</v>
      </c>
      <c r="B18" s="22" t="s">
        <v>512</v>
      </c>
      <c r="C18" s="26" t="s">
        <v>491</v>
      </c>
      <c r="D18" s="22" t="s">
        <v>500</v>
      </c>
      <c r="E18" s="29">
        <v>46813.0</v>
      </c>
      <c r="F18" s="28">
        <f t="shared" si="1"/>
        <v>670</v>
      </c>
      <c r="G18" s="28" t="str">
        <f t="shared" si="2"/>
        <v>OK</v>
      </c>
      <c r="H18" s="28" t="str">
        <f t="shared" si="3"/>
        <v>NÃO</v>
      </c>
      <c r="I18" s="22" t="s">
        <v>494</v>
      </c>
    </row>
    <row r="19">
      <c r="A19" s="26" t="s">
        <v>491</v>
      </c>
      <c r="B19" s="22" t="s">
        <v>513</v>
      </c>
      <c r="C19" s="26" t="s">
        <v>491</v>
      </c>
      <c r="D19" s="22" t="s">
        <v>493</v>
      </c>
      <c r="E19" s="27">
        <v>46447.0</v>
      </c>
      <c r="F19" s="28">
        <f t="shared" si="1"/>
        <v>304</v>
      </c>
      <c r="G19" s="28" t="str">
        <f t="shared" si="2"/>
        <v>Atenção</v>
      </c>
      <c r="H19" s="28" t="str">
        <f t="shared" si="3"/>
        <v>SIM</v>
      </c>
      <c r="I19" s="22" t="s">
        <v>494</v>
      </c>
    </row>
    <row r="20">
      <c r="A20" s="26" t="s">
        <v>491</v>
      </c>
      <c r="B20" s="22" t="s">
        <v>514</v>
      </c>
      <c r="C20" s="26" t="s">
        <v>491</v>
      </c>
      <c r="D20" s="22" t="s">
        <v>493</v>
      </c>
      <c r="E20" s="27">
        <v>46661.0</v>
      </c>
      <c r="F20" s="28">
        <f t="shared" si="1"/>
        <v>518</v>
      </c>
      <c r="G20" s="28" t="str">
        <f t="shared" si="2"/>
        <v>OK</v>
      </c>
      <c r="H20" s="28" t="str">
        <f t="shared" si="3"/>
        <v>NÃO</v>
      </c>
      <c r="I20" s="22" t="s">
        <v>494</v>
      </c>
    </row>
    <row r="21">
      <c r="A21" s="26" t="s">
        <v>491</v>
      </c>
      <c r="B21" s="22" t="s">
        <v>515</v>
      </c>
      <c r="C21" s="26" t="s">
        <v>491</v>
      </c>
      <c r="F21" s="28" t="str">
        <f t="shared" si="1"/>
        <v/>
      </c>
      <c r="G21" s="28" t="str">
        <f t="shared" si="2"/>
        <v/>
      </c>
      <c r="H21" s="28" t="str">
        <f t="shared" si="3"/>
        <v>NÃO</v>
      </c>
    </row>
    <row r="22">
      <c r="A22" s="26" t="s">
        <v>491</v>
      </c>
      <c r="B22" s="22" t="s">
        <v>516</v>
      </c>
      <c r="C22" s="26" t="s">
        <v>491</v>
      </c>
      <c r="D22" s="22" t="s">
        <v>493</v>
      </c>
      <c r="E22" s="27">
        <v>46508.0</v>
      </c>
      <c r="F22" s="28">
        <f t="shared" si="1"/>
        <v>365</v>
      </c>
      <c r="G22" s="28" t="str">
        <f t="shared" si="2"/>
        <v>Atenção</v>
      </c>
      <c r="H22" s="28" t="str">
        <f t="shared" si="3"/>
        <v>SIM</v>
      </c>
      <c r="I22" s="22" t="s">
        <v>494</v>
      </c>
    </row>
  </sheetData>
  <drawing r:id="rId1"/>
</worksheet>
</file>